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Raw Data" sheetId="1" state="visible" r:id="rId3"/>
    <sheet name="13W Summary Dashboard" sheetId="2" state="visible" r:id="rId4"/>
    <sheet name="Weekly GSV Trend" sheetId="3" state="visible" r:id="rId5"/>
    <sheet name="Data 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<sst xmlns="http://schemas.openxmlformats.org/spreadsheetml/2006/main" count="254" uniqueCount="189">
  <si>
    <t xml:space="preserve">SKU ID</t>
  </si>
  <si>
    <t xml:space="preserve">Brand</t>
  </si>
  <si>
    <t xml:space="preserve">Segment</t>
  </si>
  <si>
    <t xml:space="preserve">Pack Size</t>
  </si>
  <si>
    <t xml:space="preserve">Channel</t>
  </si>
  <si>
    <t xml:space="preserve">GSV Plan ($K)
W1 (29-Dec)</t>
  </si>
  <si>
    <t xml:space="preserve">GSV Actual ($K)
W1 (29-Dec)</t>
  </si>
  <si>
    <t xml:space="preserve">GSV LE ($K)
W1 (29-Dec)</t>
  </si>
  <si>
    <t xml:space="preserve">Trade Plan ($K)
W1 (29-Dec)</t>
  </si>
  <si>
    <t xml:space="preserve">Trade Actual ($K)
W1 (29-Dec)</t>
  </si>
  <si>
    <t xml:space="preserve">Trade LE ($K)
W1 (29-Dec)</t>
  </si>
  <si>
    <t xml:space="preserve">GSV Plan ($K)
W2 (05-Jan)</t>
  </si>
  <si>
    <t xml:space="preserve">GSV Actual ($K)
W2 (05-Jan)</t>
  </si>
  <si>
    <t xml:space="preserve">GSV LE ($K)
W2 (05-Jan)</t>
  </si>
  <si>
    <t xml:space="preserve">Trade Plan ($K)
W2 (05-Jan)</t>
  </si>
  <si>
    <t xml:space="preserve">Trade Actual ($K)
W2 (05-Jan)</t>
  </si>
  <si>
    <t xml:space="preserve">Trade LE ($K)
W2 (05-Jan)</t>
  </si>
  <si>
    <t xml:space="preserve">GSV Plan ($K)
W3 (12-Jan)</t>
  </si>
  <si>
    <t xml:space="preserve">GSV Actual ($K)
W3 (12-Jan)</t>
  </si>
  <si>
    <t xml:space="preserve">GSV LE ($K)
W3 (12-Jan)</t>
  </si>
  <si>
    <t xml:space="preserve">Trade Plan ($K)
W3 (12-Jan)</t>
  </si>
  <si>
    <t xml:space="preserve">Trade Actual ($K)
W3 (12-Jan)</t>
  </si>
  <si>
    <t xml:space="preserve">Trade LE ($K)
W3 (12-Jan)</t>
  </si>
  <si>
    <t xml:space="preserve">GSV Plan ($K)
W4 (19-Jan)</t>
  </si>
  <si>
    <t xml:space="preserve">GSV Actual ($K)
W4 (19-Jan)</t>
  </si>
  <si>
    <t xml:space="preserve">GSV LE ($K)
W4 (19-Jan)</t>
  </si>
  <si>
    <t xml:space="preserve">Trade Plan ($K)
W4 (19-Jan)</t>
  </si>
  <si>
    <t xml:space="preserve">Trade Actual ($K)
W4 (19-Jan)</t>
  </si>
  <si>
    <t xml:space="preserve">Trade LE ($K)
W4 (19-Jan)</t>
  </si>
  <si>
    <t xml:space="preserve">GSV Plan ($K)
W5 (26-Jan)</t>
  </si>
  <si>
    <t xml:space="preserve">GSV Actual ($K)
W5 (26-Jan)</t>
  </si>
  <si>
    <t xml:space="preserve">GSV LE ($K)
W5 (26-Jan)</t>
  </si>
  <si>
    <t xml:space="preserve">Trade Plan ($K)
W5 (26-Jan)</t>
  </si>
  <si>
    <t xml:space="preserve">Trade Actual ($K)
W5 (26-Jan)</t>
  </si>
  <si>
    <t xml:space="preserve">Trade LE ($K)
W5 (26-Jan)</t>
  </si>
  <si>
    <t xml:space="preserve">GSV Plan ($K)
W6 (02-Feb)</t>
  </si>
  <si>
    <t xml:space="preserve">GSV Actual ($K)
W6 (02-Feb)</t>
  </si>
  <si>
    <t xml:space="preserve">GSV LE ($K)
W6 (02-Feb)</t>
  </si>
  <si>
    <t xml:space="preserve">Trade Plan ($K)
W6 (02-Feb)</t>
  </si>
  <si>
    <t xml:space="preserve">Trade Actual ($K)
W6 (02-Feb)</t>
  </si>
  <si>
    <t xml:space="preserve">Trade LE ($K)
W6 (02-Feb)</t>
  </si>
  <si>
    <t xml:space="preserve">GSV Plan ($K)
W7 (09-Feb)</t>
  </si>
  <si>
    <t xml:space="preserve">GSV Actual ($K)
W7 (09-Feb)</t>
  </si>
  <si>
    <t xml:space="preserve">GSV LE ($K)
W7 (09-Feb)</t>
  </si>
  <si>
    <t xml:space="preserve">Trade Plan ($K)
W7 (09-Feb)</t>
  </si>
  <si>
    <t xml:space="preserve">Trade Actual ($K)
W7 (09-Feb)</t>
  </si>
  <si>
    <t xml:space="preserve">Trade LE ($K)
W7 (09-Feb)</t>
  </si>
  <si>
    <t xml:space="preserve">GSV Plan ($K)
W8 (16-Feb)</t>
  </si>
  <si>
    <t xml:space="preserve">GSV Actual ($K)
W8 (16-Feb)</t>
  </si>
  <si>
    <t xml:space="preserve">GSV LE ($K)
W8 (16-Feb)</t>
  </si>
  <si>
    <t xml:space="preserve">Trade Plan ($K)
W8 (16-Feb)</t>
  </si>
  <si>
    <t xml:space="preserve">Trade Actual ($K)
W8 (16-Feb)</t>
  </si>
  <si>
    <t xml:space="preserve">Trade LE ($K)
W8 (16-Feb)</t>
  </si>
  <si>
    <t xml:space="preserve">GSV Plan ($K)
W9 (23-Feb)</t>
  </si>
  <si>
    <t xml:space="preserve">GSV Actual ($K)
W9 (23-Feb)</t>
  </si>
  <si>
    <t xml:space="preserve">GSV LE ($K)
W9 (23-Feb)</t>
  </si>
  <si>
    <t xml:space="preserve">Trade Plan ($K)
W9 (23-Feb)</t>
  </si>
  <si>
    <t xml:space="preserve">Trade Actual ($K)
W9 (23-Feb)</t>
  </si>
  <si>
    <t xml:space="preserve">Trade LE ($K)
W9 (23-Feb)</t>
  </si>
  <si>
    <t xml:space="preserve">GSV Plan ($K)
W10 (02-Mar)</t>
  </si>
  <si>
    <t xml:space="preserve">GSV Actual ($K)
W10 (02-Mar)</t>
  </si>
  <si>
    <t xml:space="preserve">GSV LE ($K)
W10 (02-Mar)</t>
  </si>
  <si>
    <t xml:space="preserve">Trade Plan ($K)
W10 (02-Mar)</t>
  </si>
  <si>
    <t xml:space="preserve">Trade Actual ($K)
W10 (02-Mar)</t>
  </si>
  <si>
    <t xml:space="preserve">Trade LE ($K)
W10 (02-Mar)</t>
  </si>
  <si>
    <t xml:space="preserve">GSV Plan ($K)
W11 (09-Mar)</t>
  </si>
  <si>
    <t xml:space="preserve">GSV Actual ($K)
W11 (09-Mar)</t>
  </si>
  <si>
    <t xml:space="preserve">GSV LE ($K)
W11 (09-Mar)</t>
  </si>
  <si>
    <t xml:space="preserve">Trade Plan ($K)
W11 (09-Mar)</t>
  </si>
  <si>
    <t xml:space="preserve">Trade Actual ($K)
W11 (09-Mar)</t>
  </si>
  <si>
    <t xml:space="preserve">Trade LE ($K)
W11 (09-Mar)</t>
  </si>
  <si>
    <t xml:space="preserve">GSV Plan ($K)
W12 (16-Mar)</t>
  </si>
  <si>
    <t xml:space="preserve">GSV Actual ($K)
W12 (16-Mar)</t>
  </si>
  <si>
    <t xml:space="preserve">GSV LE ($K)
W12 (16-Mar)</t>
  </si>
  <si>
    <t xml:space="preserve">Trade Plan ($K)
W12 (16-Mar)</t>
  </si>
  <si>
    <t xml:space="preserve">Trade Actual ($K)
W12 (16-Mar)</t>
  </si>
  <si>
    <t xml:space="preserve">Trade LE ($K)
W12 (16-Mar)</t>
  </si>
  <si>
    <t xml:space="preserve">GSV Plan ($K)
W13 (23-Mar)</t>
  </si>
  <si>
    <t xml:space="preserve">GSV Actual ($K)
W13 (23-Mar)</t>
  </si>
  <si>
    <t xml:space="preserve">GSV LE ($K)
W13 (23-Mar)</t>
  </si>
  <si>
    <t xml:space="preserve">Trade Plan ($K)
W13 (23-Mar)</t>
  </si>
  <si>
    <t xml:space="preserve">Trade Actual ($K)
W13 (23-Mar)</t>
  </si>
  <si>
    <t xml:space="preserve">Trade LE ($K)
W13 (23-Mar)</t>
  </si>
  <si>
    <t xml:space="preserve">PF-001</t>
  </si>
  <si>
    <t xml:space="preserve">NutriPaws</t>
  </si>
  <si>
    <t xml:space="preserve">Dry Dog Food</t>
  </si>
  <si>
    <t xml:space="preserve">5kg</t>
  </si>
  <si>
    <t xml:space="preserve">Grocery</t>
  </si>
  <si>
    <t xml:space="preserve">PF-002</t>
  </si>
  <si>
    <t xml:space="preserve">12kg</t>
  </si>
  <si>
    <t xml:space="preserve">PF-003</t>
  </si>
  <si>
    <t xml:space="preserve">Wet Dog Food</t>
  </si>
  <si>
    <t xml:space="preserve">400g x6</t>
  </si>
  <si>
    <t xml:space="preserve">PF-004</t>
  </si>
  <si>
    <t xml:space="preserve">VitaCat</t>
  </si>
  <si>
    <t xml:space="preserve">Dry Cat Food</t>
  </si>
  <si>
    <t xml:space="preserve">2kg</t>
  </si>
  <si>
    <t xml:space="preserve">PF-005</t>
  </si>
  <si>
    <t xml:space="preserve">Wet Cat Food</t>
  </si>
  <si>
    <t xml:space="preserve">85g x12</t>
  </si>
  <si>
    <t xml:space="preserve">PF-006</t>
  </si>
  <si>
    <t xml:space="preserve">Mass</t>
  </si>
  <si>
    <t xml:space="preserve">PF-007</t>
  </si>
  <si>
    <t xml:space="preserve">PureProtein</t>
  </si>
  <si>
    <t xml:space="preserve">8kg</t>
  </si>
  <si>
    <t xml:space="preserve">PF-008</t>
  </si>
  <si>
    <t xml:space="preserve">Treats &amp; Snacks</t>
  </si>
  <si>
    <t xml:space="preserve">200g</t>
  </si>
  <si>
    <t xml:space="preserve">PF-009</t>
  </si>
  <si>
    <t xml:space="preserve">500g</t>
  </si>
  <si>
    <t xml:space="preserve">PF-010</t>
  </si>
  <si>
    <t xml:space="preserve">20kg</t>
  </si>
  <si>
    <t xml:space="preserve">Pet Specialty</t>
  </si>
  <si>
    <t xml:space="preserve">Pet Food RGM – 13-Week GSV &amp; Trade Spend Summary (Latest Estimate vs Plan)</t>
  </si>
  <si>
    <t xml:space="preserve">GSV Plan
13W ($K)</t>
  </si>
  <si>
    <t xml:space="preserve">GSV Actual
13W ($K)</t>
  </si>
  <si>
    <t xml:space="preserve">GSV LE
13W ($K)</t>
  </si>
  <si>
    <t xml:space="preserve">GSV Var
Actual vs Plan</t>
  </si>
  <si>
    <t xml:space="preserve">GSV Var%
Actual vs Plan</t>
  </si>
  <si>
    <t xml:space="preserve">GSV Var
LE vs Plan</t>
  </si>
  <si>
    <t xml:space="preserve">GSV Var%
LE vs Plan</t>
  </si>
  <si>
    <t xml:space="preserve">Trade Plan
13W ($K)</t>
  </si>
  <si>
    <t xml:space="preserve">Trade Actual
13W ($K)</t>
  </si>
  <si>
    <t xml:space="preserve">Trade LE
13W ($K)</t>
  </si>
  <si>
    <t xml:space="preserve">Trade Var
Actual vs Plan</t>
  </si>
  <si>
    <t xml:space="preserve">Trade Var%
Actual vs Plan</t>
  </si>
  <si>
    <t xml:space="preserve">NSV Actual
13W ($K)</t>
  </si>
  <si>
    <t xml:space="preserve">NSV Plan
13W ($K)</t>
  </si>
  <si>
    <t xml:space="preserve">NSV Var
Actual vs Plan</t>
  </si>
  <si>
    <t xml:space="preserve">TOTAL</t>
  </si>
  <si>
    <t xml:space="preserve">Weekly GSV: LE vs Plan by SKU – Last 13 Weeks ($K)</t>
  </si>
  <si>
    <t xml:space="preserve">SKU / Brand</t>
  </si>
  <si>
    <t xml:space="preserve">W1 (29-Dec)</t>
  </si>
  <si>
    <t xml:space="preserve">W2 (05-Jan)</t>
  </si>
  <si>
    <t xml:space="preserve">W3 (12-Jan)</t>
  </si>
  <si>
    <t xml:space="preserve">W4 (19-Jan)</t>
  </si>
  <si>
    <t xml:space="preserve">W5 (26-Jan)</t>
  </si>
  <si>
    <t xml:space="preserve">W6 (02-Feb)</t>
  </si>
  <si>
    <t xml:space="preserve">W7 (09-Feb)</t>
  </si>
  <si>
    <t xml:space="preserve">W8 (16-Feb)</t>
  </si>
  <si>
    <t xml:space="preserve">W9 (23-Feb)</t>
  </si>
  <si>
    <t xml:space="preserve">W10 (02-Mar)</t>
  </si>
  <si>
    <t xml:space="preserve">W11 (09-Mar)</t>
  </si>
  <si>
    <t xml:space="preserve">W12 (16-Mar)</t>
  </si>
  <si>
    <t xml:space="preserve">W13 (23-Mar)</t>
  </si>
  <si>
    <t xml:space="preserve">PF-001 – NutriPaws</t>
  </si>
  <si>
    <t xml:space="preserve">PF-002 – NutriPaws</t>
  </si>
  <si>
    <t xml:space="preserve">PF-003 – NutriPaws</t>
  </si>
  <si>
    <t xml:space="preserve">PF-004 – VitaCat</t>
  </si>
  <si>
    <t xml:space="preserve">PF-005 – VitaCat</t>
  </si>
  <si>
    <t xml:space="preserve">PF-006 – VitaCat</t>
  </si>
  <si>
    <t xml:space="preserve">PF-007 – PureProtein</t>
  </si>
  <si>
    <t xml:space="preserve">PF-008 – PureProtein</t>
  </si>
  <si>
    <t xml:space="preserve">PF-009 – PureProtein</t>
  </si>
  <si>
    <t xml:space="preserve">PF-010 – NutriPaws</t>
  </si>
  <si>
    <t xml:space="preserve">Green = LE ≥ Plan   |   Red = LE &lt; Plan</t>
  </si>
  <si>
    <t xml:space="preserve">Data Dictionary – Pet Food RGM Synthetic Dataset</t>
  </si>
  <si>
    <t xml:space="preserve">Field</t>
  </si>
  <si>
    <t xml:space="preserve">Definition</t>
  </si>
  <si>
    <t xml:space="preserve">Source / Notes</t>
  </si>
  <si>
    <t xml:space="preserve">GSV (Gross Sales Value)</t>
  </si>
  <si>
    <t xml:space="preserve">Revenue before trade deductions, at invoiced price ($K)</t>
  </si>
  <si>
    <t xml:space="preserve">Internal ERP / SAP</t>
  </si>
  <si>
    <t xml:space="preserve">NSV (Net Sales Value)</t>
  </si>
  <si>
    <t xml:space="preserve">GSV minus all trade spend deductions ($K)</t>
  </si>
  <si>
    <t xml:space="preserve">Calculated: GSV – Trade</t>
  </si>
  <si>
    <t xml:space="preserve">Trade Spend (TPM)</t>
  </si>
  <si>
    <t xml:space="preserve">Promotion &amp; customer investment tracked in Trade Promo Mgmt system ($K)</t>
  </si>
  <si>
    <t xml:space="preserve">TPM System</t>
  </si>
  <si>
    <t xml:space="preserve">Trade Spend (Non-TPM)</t>
  </si>
  <si>
    <t xml:space="preserve">Off-system trade commitments (e.g., co-op, EDLPs) ($K)</t>
  </si>
  <si>
    <t xml:space="preserve">Finance Accruals</t>
  </si>
  <si>
    <t xml:space="preserve">Plan</t>
  </si>
  <si>
    <t xml:space="preserve">Locked annual operating plan, prorated to weekly ($K)</t>
  </si>
  <si>
    <t xml:space="preserve">Annual Planning Cycle</t>
  </si>
  <si>
    <t xml:space="preserve">LE (Latest Estimate)</t>
  </si>
  <si>
    <t xml:space="preserve">Most current forward projection of year-end landing, refreshed periodically</t>
  </si>
  <si>
    <t xml:space="preserve">Monthly S&amp;OP / Finance</t>
  </si>
  <si>
    <t xml:space="preserve">Actual</t>
  </si>
  <si>
    <t xml:space="preserve">Confirmed shipped/invoiced revenue or spend for the period ($K)</t>
  </si>
  <si>
    <t xml:space="preserve">ERP Actuals</t>
  </si>
  <si>
    <t xml:space="preserve">Variance (Actual vs Plan)</t>
  </si>
  <si>
    <t xml:space="preserve">Actual minus Plan; positive = favourable for GSV, unfavourable for Trade</t>
  </si>
  <si>
    <t xml:space="preserve">Calculated</t>
  </si>
  <si>
    <t xml:space="preserve">Variance (LE vs Plan)</t>
  </si>
  <si>
    <t xml:space="preserve">LE minus Plan; forward-looking gap signal</t>
  </si>
  <si>
    <t xml:space="preserve">Promo Week</t>
  </si>
  <si>
    <t xml:space="preserve">Week flagged for trade promotion event (drives GSV uplift ~35%)</t>
  </si>
  <si>
    <t xml:space="preserve">Synthetic assumption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</si>
</sst>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\+#,##0.0;\-#,##0.0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B8CCE4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E2EFDA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2F7FB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  <col collapsed="false" customWidth="true" hidden="false" outlineLevel="0" max="83" min="6" style="1" width="14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</row>
    <row r="2" customFormat="false" ht="15" hidden="false" customHeight="true" outlineLevel="0" collapsed="false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5" t="n">
        <v>80.8</v>
      </c>
      <c r="G2" s="5" t="n">
        <v>82.6</v>
      </c>
      <c r="H2" s="5" t="n">
        <v>80.3</v>
      </c>
      <c r="I2" s="5" t="n">
        <v>14.5</v>
      </c>
      <c r="J2" s="5" t="n">
        <v>14.3</v>
      </c>
      <c r="K2" s="5" t="n">
        <v>14.1</v>
      </c>
      <c r="L2" s="5" t="n">
        <v>80.8</v>
      </c>
      <c r="M2" s="5" t="n">
        <v>113.2</v>
      </c>
      <c r="N2" s="5" t="n">
        <v>115.2</v>
      </c>
      <c r="O2" s="5" t="n">
        <v>14.5</v>
      </c>
      <c r="P2" s="5" t="n">
        <v>22.3</v>
      </c>
      <c r="Q2" s="5" t="n">
        <v>19.9</v>
      </c>
      <c r="R2" s="5" t="n">
        <v>80.8</v>
      </c>
      <c r="S2" s="5" t="n">
        <v>79.8</v>
      </c>
      <c r="T2" s="5" t="n">
        <v>77.6</v>
      </c>
      <c r="U2" s="5" t="n">
        <v>14.5</v>
      </c>
      <c r="V2" s="5" t="n">
        <v>13.6</v>
      </c>
      <c r="W2" s="5" t="n">
        <v>14</v>
      </c>
      <c r="X2" s="5" t="n">
        <v>80.8</v>
      </c>
      <c r="Y2" s="5" t="n">
        <v>74.7</v>
      </c>
      <c r="Z2" s="5" t="n">
        <v>73.5</v>
      </c>
      <c r="AA2" s="5" t="n">
        <v>14.5</v>
      </c>
      <c r="AB2" s="5" t="n">
        <v>14</v>
      </c>
      <c r="AC2" s="5" t="n">
        <v>13.3</v>
      </c>
      <c r="AD2" s="5" t="n">
        <v>80.8</v>
      </c>
      <c r="AE2" s="5" t="n">
        <v>77.2</v>
      </c>
      <c r="AF2" s="5" t="n">
        <v>78.1</v>
      </c>
      <c r="AG2" s="5" t="n">
        <v>14.5</v>
      </c>
      <c r="AH2" s="5" t="n">
        <v>15</v>
      </c>
      <c r="AI2" s="5" t="n">
        <v>13.4</v>
      </c>
      <c r="AJ2" s="5" t="n">
        <v>80.8</v>
      </c>
      <c r="AK2" s="5" t="n">
        <v>114.4</v>
      </c>
      <c r="AL2" s="5" t="n">
        <v>116.6</v>
      </c>
      <c r="AM2" s="5" t="n">
        <v>14.5</v>
      </c>
      <c r="AN2" s="5" t="n">
        <v>20.1</v>
      </c>
      <c r="AO2" s="5" t="n">
        <v>20.3</v>
      </c>
      <c r="AP2" s="5" t="n">
        <v>80.8</v>
      </c>
      <c r="AQ2" s="5" t="n">
        <v>86.7</v>
      </c>
      <c r="AR2" s="5" t="n">
        <v>86.1</v>
      </c>
      <c r="AS2" s="5" t="n">
        <v>14.5</v>
      </c>
      <c r="AT2" s="5" t="n">
        <v>14.4</v>
      </c>
      <c r="AU2" s="5" t="n">
        <v>14.9</v>
      </c>
      <c r="AV2" s="5" t="n">
        <v>80.8</v>
      </c>
      <c r="AW2" s="5" t="n">
        <v>85.3</v>
      </c>
      <c r="AX2" s="5" t="n">
        <v>86.3</v>
      </c>
      <c r="AY2" s="5" t="n">
        <v>14.5</v>
      </c>
      <c r="AZ2" s="5" t="n">
        <v>16.5</v>
      </c>
      <c r="BA2" s="5" t="n">
        <v>15.9</v>
      </c>
      <c r="BB2" s="5" t="n">
        <v>80.8</v>
      </c>
      <c r="BC2" s="5" t="n">
        <v>81.2</v>
      </c>
      <c r="BD2" s="5" t="n">
        <v>84.3</v>
      </c>
      <c r="BE2" s="5" t="n">
        <v>14.5</v>
      </c>
      <c r="BF2" s="5" t="n">
        <v>14.4</v>
      </c>
      <c r="BG2" s="5" t="n">
        <v>15.3</v>
      </c>
      <c r="BH2" s="5" t="n">
        <v>80.8</v>
      </c>
      <c r="BI2" s="5" t="n">
        <v>114.8</v>
      </c>
      <c r="BJ2" s="5" t="n">
        <v>116.3</v>
      </c>
      <c r="BK2" s="5" t="n">
        <v>14.5</v>
      </c>
      <c r="BL2" s="5" t="n">
        <v>22.5</v>
      </c>
      <c r="BM2" s="5" t="n">
        <v>21.1</v>
      </c>
      <c r="BN2" s="5" t="n">
        <v>80.8</v>
      </c>
      <c r="BO2" s="5" t="n">
        <v>83.4</v>
      </c>
      <c r="BP2" s="5" t="n">
        <v>81.2</v>
      </c>
      <c r="BQ2" s="5" t="n">
        <v>14.5</v>
      </c>
      <c r="BR2" s="5" t="n">
        <v>14.3</v>
      </c>
      <c r="BS2" s="5" t="n">
        <v>14.3</v>
      </c>
      <c r="BT2" s="5" t="n">
        <v>80.8</v>
      </c>
      <c r="BU2" s="5" t="n">
        <v>75.3</v>
      </c>
      <c r="BV2" s="5" t="n">
        <v>74.3</v>
      </c>
      <c r="BW2" s="5" t="n">
        <v>14.5</v>
      </c>
      <c r="BX2" s="5" t="n">
        <v>12.5</v>
      </c>
      <c r="BY2" s="5" t="n">
        <v>13.1</v>
      </c>
      <c r="BZ2" s="5" t="n">
        <v>80.8</v>
      </c>
      <c r="CA2" s="5" t="n">
        <v>82.5</v>
      </c>
      <c r="CB2" s="5" t="n">
        <v>82.1</v>
      </c>
      <c r="CC2" s="5" t="n">
        <v>14.5</v>
      </c>
      <c r="CD2" s="5" t="n">
        <v>14.6</v>
      </c>
      <c r="CE2" s="5" t="n">
        <v>14.3</v>
      </c>
    </row>
    <row r="3" customFormat="false" ht="15" hidden="false" customHeight="true" outlineLevel="0" collapsed="false">
      <c r="A3" s="4" t="s">
        <v>88</v>
      </c>
      <c r="B3" s="4" t="s">
        <v>84</v>
      </c>
      <c r="C3" s="4" t="s">
        <v>85</v>
      </c>
      <c r="D3" s="4" t="s">
        <v>89</v>
      </c>
      <c r="E3" s="4" t="s">
        <v>87</v>
      </c>
      <c r="F3" s="5" t="n">
        <v>150</v>
      </c>
      <c r="G3" s="5" t="n">
        <v>144.4</v>
      </c>
      <c r="H3" s="5" t="n">
        <v>149.5</v>
      </c>
      <c r="I3" s="5" t="n">
        <v>30</v>
      </c>
      <c r="J3" s="5" t="n">
        <v>30.1</v>
      </c>
      <c r="K3" s="5" t="n">
        <v>30.2</v>
      </c>
      <c r="L3" s="5" t="n">
        <v>150</v>
      </c>
      <c r="M3" s="5" t="n">
        <v>142.1</v>
      </c>
      <c r="N3" s="5" t="n">
        <v>145.1</v>
      </c>
      <c r="O3" s="5" t="n">
        <v>30</v>
      </c>
      <c r="P3" s="5" t="n">
        <v>26.6</v>
      </c>
      <c r="Q3" s="5" t="n">
        <v>28.7</v>
      </c>
      <c r="R3" s="5" t="n">
        <v>150</v>
      </c>
      <c r="S3" s="5" t="n">
        <v>218.4</v>
      </c>
      <c r="T3" s="5" t="n">
        <v>221.6</v>
      </c>
      <c r="U3" s="5" t="n">
        <v>30</v>
      </c>
      <c r="V3" s="5" t="n">
        <v>44.7</v>
      </c>
      <c r="W3" s="5" t="n">
        <v>45.1</v>
      </c>
      <c r="X3" s="5" t="n">
        <v>150</v>
      </c>
      <c r="Y3" s="5" t="n">
        <v>158.2</v>
      </c>
      <c r="Z3" s="5" t="n">
        <v>162</v>
      </c>
      <c r="AA3" s="5" t="n">
        <v>30</v>
      </c>
      <c r="AB3" s="5" t="n">
        <v>30.1</v>
      </c>
      <c r="AC3" s="5" t="n">
        <v>30.9</v>
      </c>
      <c r="AD3" s="5" t="n">
        <v>150</v>
      </c>
      <c r="AE3" s="5" t="n">
        <v>145.6</v>
      </c>
      <c r="AF3" s="5" t="n">
        <v>144</v>
      </c>
      <c r="AG3" s="5" t="n">
        <v>30</v>
      </c>
      <c r="AH3" s="5" t="n">
        <v>27.6</v>
      </c>
      <c r="AI3" s="5" t="n">
        <v>30.1</v>
      </c>
      <c r="AJ3" s="5" t="n">
        <v>150</v>
      </c>
      <c r="AK3" s="5" t="n">
        <v>159</v>
      </c>
      <c r="AL3" s="5" t="n">
        <v>157.7</v>
      </c>
      <c r="AM3" s="5" t="n">
        <v>30</v>
      </c>
      <c r="AN3" s="5" t="n">
        <v>33.2</v>
      </c>
      <c r="AO3" s="5" t="n">
        <v>31.2</v>
      </c>
      <c r="AP3" s="5" t="n">
        <v>150</v>
      </c>
      <c r="AQ3" s="5" t="n">
        <v>215.9</v>
      </c>
      <c r="AR3" s="5" t="n">
        <v>216.4</v>
      </c>
      <c r="AS3" s="5" t="n">
        <v>30</v>
      </c>
      <c r="AT3" s="5" t="n">
        <v>41.4</v>
      </c>
      <c r="AU3" s="5" t="n">
        <v>42.2</v>
      </c>
      <c r="AV3" s="5" t="n">
        <v>150</v>
      </c>
      <c r="AW3" s="5" t="n">
        <v>151.5</v>
      </c>
      <c r="AX3" s="5" t="n">
        <v>149.7</v>
      </c>
      <c r="AY3" s="5" t="n">
        <v>30</v>
      </c>
      <c r="AZ3" s="5" t="n">
        <v>31.2</v>
      </c>
      <c r="BA3" s="5" t="n">
        <v>31.1</v>
      </c>
      <c r="BB3" s="5" t="n">
        <v>150</v>
      </c>
      <c r="BC3" s="5" t="n">
        <v>147.6</v>
      </c>
      <c r="BD3" s="5" t="n">
        <v>145.4</v>
      </c>
      <c r="BE3" s="5" t="n">
        <v>30</v>
      </c>
      <c r="BF3" s="5" t="n">
        <v>33</v>
      </c>
      <c r="BG3" s="5" t="n">
        <v>29.1</v>
      </c>
      <c r="BH3" s="5" t="n">
        <v>150</v>
      </c>
      <c r="BI3" s="5" t="n">
        <v>140.2</v>
      </c>
      <c r="BJ3" s="5" t="n">
        <v>136.5</v>
      </c>
      <c r="BK3" s="5" t="n">
        <v>30</v>
      </c>
      <c r="BL3" s="5" t="n">
        <v>25.9</v>
      </c>
      <c r="BM3" s="5" t="n">
        <v>27.6</v>
      </c>
      <c r="BN3" s="5" t="n">
        <v>150</v>
      </c>
      <c r="BO3" s="5" t="n">
        <v>212</v>
      </c>
      <c r="BP3" s="5" t="n">
        <v>211.9</v>
      </c>
      <c r="BQ3" s="5" t="n">
        <v>30</v>
      </c>
      <c r="BR3" s="5" t="n">
        <v>38.8</v>
      </c>
      <c r="BS3" s="5" t="n">
        <v>41.9</v>
      </c>
      <c r="BT3" s="5" t="n">
        <v>150</v>
      </c>
      <c r="BU3" s="5" t="n">
        <v>161.9</v>
      </c>
      <c r="BV3" s="5" t="n">
        <v>163</v>
      </c>
      <c r="BW3" s="5" t="n">
        <v>30</v>
      </c>
      <c r="BX3" s="5" t="n">
        <v>36.1</v>
      </c>
      <c r="BY3" s="5" t="n">
        <v>33.8</v>
      </c>
      <c r="BZ3" s="5" t="n">
        <v>150</v>
      </c>
      <c r="CA3" s="5" t="n">
        <v>138.3</v>
      </c>
      <c r="CB3" s="5" t="n">
        <v>141.1</v>
      </c>
      <c r="CC3" s="5" t="n">
        <v>30</v>
      </c>
      <c r="CD3" s="5" t="n">
        <v>29</v>
      </c>
      <c r="CE3" s="5" t="n">
        <v>28.3</v>
      </c>
    </row>
    <row r="4" customFormat="false" ht="15" hidden="false" customHeight="true" outlineLevel="0" collapsed="false">
      <c r="A4" s="4" t="s">
        <v>90</v>
      </c>
      <c r="B4" s="4" t="s">
        <v>84</v>
      </c>
      <c r="C4" s="4" t="s">
        <v>91</v>
      </c>
      <c r="D4" s="4" t="s">
        <v>92</v>
      </c>
      <c r="E4" s="4" t="s">
        <v>87</v>
      </c>
      <c r="F4" s="5" t="n">
        <v>59.6</v>
      </c>
      <c r="G4" s="5" t="n">
        <v>77.5</v>
      </c>
      <c r="H4" s="5" t="n">
        <v>78.7</v>
      </c>
      <c r="I4" s="5" t="n">
        <v>13.1</v>
      </c>
      <c r="J4" s="5" t="n">
        <v>15.8</v>
      </c>
      <c r="K4" s="5" t="n">
        <v>17.2</v>
      </c>
      <c r="L4" s="5" t="n">
        <v>59.6</v>
      </c>
      <c r="M4" s="5" t="n">
        <v>59.2</v>
      </c>
      <c r="N4" s="5" t="n">
        <v>61.4</v>
      </c>
      <c r="O4" s="5" t="n">
        <v>13.1</v>
      </c>
      <c r="P4" s="5" t="n">
        <v>14.2</v>
      </c>
      <c r="Q4" s="5" t="n">
        <v>13.2</v>
      </c>
      <c r="R4" s="5" t="n">
        <v>59.6</v>
      </c>
      <c r="S4" s="5" t="n">
        <v>59.6</v>
      </c>
      <c r="T4" s="5" t="n">
        <v>58.6</v>
      </c>
      <c r="U4" s="5" t="n">
        <v>13.1</v>
      </c>
      <c r="V4" s="5" t="n">
        <v>14.4</v>
      </c>
      <c r="W4" s="5" t="n">
        <v>13.4</v>
      </c>
      <c r="X4" s="5" t="n">
        <v>59.6</v>
      </c>
      <c r="Y4" s="5" t="n">
        <v>57.7</v>
      </c>
      <c r="Z4" s="5" t="n">
        <v>58.5</v>
      </c>
      <c r="AA4" s="5" t="n">
        <v>13.1</v>
      </c>
      <c r="AB4" s="5" t="n">
        <v>13.1</v>
      </c>
      <c r="AC4" s="5" t="n">
        <v>12.4</v>
      </c>
      <c r="AD4" s="5" t="n">
        <v>59.6</v>
      </c>
      <c r="AE4" s="5" t="n">
        <v>83.9</v>
      </c>
      <c r="AF4" s="5" t="n">
        <v>84.6</v>
      </c>
      <c r="AG4" s="5" t="n">
        <v>13.1</v>
      </c>
      <c r="AH4" s="5" t="n">
        <v>19.8</v>
      </c>
      <c r="AI4" s="5" t="n">
        <v>18.7</v>
      </c>
      <c r="AJ4" s="5" t="n">
        <v>59.6</v>
      </c>
      <c r="AK4" s="5" t="n">
        <v>54.9</v>
      </c>
      <c r="AL4" s="5" t="n">
        <v>54.5</v>
      </c>
      <c r="AM4" s="5" t="n">
        <v>13.1</v>
      </c>
      <c r="AN4" s="5" t="n">
        <v>10.9</v>
      </c>
      <c r="AO4" s="5" t="n">
        <v>12.5</v>
      </c>
      <c r="AP4" s="5" t="n">
        <v>59.6</v>
      </c>
      <c r="AQ4" s="5" t="n">
        <v>63.2</v>
      </c>
      <c r="AR4" s="5" t="n">
        <v>65</v>
      </c>
      <c r="AS4" s="5" t="n">
        <v>13.1</v>
      </c>
      <c r="AT4" s="5" t="n">
        <v>13.5</v>
      </c>
      <c r="AU4" s="5" t="n">
        <v>13.7</v>
      </c>
      <c r="AV4" s="5" t="n">
        <v>59.6</v>
      </c>
      <c r="AW4" s="5" t="n">
        <v>63.2</v>
      </c>
      <c r="AX4" s="5" t="n">
        <v>65.5</v>
      </c>
      <c r="AY4" s="5" t="n">
        <v>13.1</v>
      </c>
      <c r="AZ4" s="5" t="n">
        <v>12.8</v>
      </c>
      <c r="BA4" s="5" t="n">
        <v>14.4</v>
      </c>
      <c r="BB4" s="5" t="n">
        <v>59.6</v>
      </c>
      <c r="BC4" s="5" t="n">
        <v>74.9</v>
      </c>
      <c r="BD4" s="5" t="n">
        <v>76.6</v>
      </c>
      <c r="BE4" s="5" t="n">
        <v>13.1</v>
      </c>
      <c r="BF4" s="5" t="n">
        <v>17.6</v>
      </c>
      <c r="BG4" s="5" t="n">
        <v>16.2</v>
      </c>
      <c r="BH4" s="5" t="n">
        <v>59.6</v>
      </c>
      <c r="BI4" s="5" t="n">
        <v>59.4</v>
      </c>
      <c r="BJ4" s="5" t="n">
        <v>59.9</v>
      </c>
      <c r="BK4" s="5" t="n">
        <v>13.1</v>
      </c>
      <c r="BL4" s="5" t="n">
        <v>12.5</v>
      </c>
      <c r="BM4" s="5" t="n">
        <v>13.7</v>
      </c>
      <c r="BN4" s="5" t="n">
        <v>59.6</v>
      </c>
      <c r="BO4" s="5" t="n">
        <v>58.9</v>
      </c>
      <c r="BP4" s="5" t="n">
        <v>58</v>
      </c>
      <c r="BQ4" s="5" t="n">
        <v>13.1</v>
      </c>
      <c r="BR4" s="5" t="n">
        <v>13.2</v>
      </c>
      <c r="BS4" s="5" t="n">
        <v>13.1</v>
      </c>
      <c r="BT4" s="5" t="n">
        <v>59.6</v>
      </c>
      <c r="BU4" s="5" t="n">
        <v>56.8</v>
      </c>
      <c r="BV4" s="5" t="n">
        <v>56.3</v>
      </c>
      <c r="BW4" s="5" t="n">
        <v>13.1</v>
      </c>
      <c r="BX4" s="5" t="n">
        <v>14</v>
      </c>
      <c r="BY4" s="5" t="n">
        <v>12.6</v>
      </c>
      <c r="BZ4" s="5" t="n">
        <v>59.6</v>
      </c>
      <c r="CA4" s="5" t="n">
        <v>79.7</v>
      </c>
      <c r="CB4" s="5" t="n">
        <v>80.2</v>
      </c>
      <c r="CC4" s="5" t="n">
        <v>13.1</v>
      </c>
      <c r="CD4" s="5" t="n">
        <v>16.2</v>
      </c>
      <c r="CE4" s="5" t="n">
        <v>17.2</v>
      </c>
    </row>
    <row r="5" customFormat="false" ht="15" hidden="false" customHeight="true" outlineLevel="0" collapsed="false">
      <c r="A5" s="4" t="s">
        <v>93</v>
      </c>
      <c r="B5" s="4" t="s">
        <v>94</v>
      </c>
      <c r="C5" s="4" t="s">
        <v>95</v>
      </c>
      <c r="D5" s="4" t="s">
        <v>96</v>
      </c>
      <c r="E5" s="4" t="s">
        <v>87</v>
      </c>
      <c r="F5" s="5" t="n">
        <v>50</v>
      </c>
      <c r="G5" s="5" t="n">
        <v>48.7</v>
      </c>
      <c r="H5" s="5" t="n">
        <v>49.2</v>
      </c>
      <c r="I5" s="5" t="n">
        <v>8.5</v>
      </c>
      <c r="J5" s="5" t="n">
        <v>7.9</v>
      </c>
      <c r="K5" s="5" t="n">
        <v>8.1</v>
      </c>
      <c r="L5" s="5" t="n">
        <v>50</v>
      </c>
      <c r="M5" s="5" t="n">
        <v>46.6</v>
      </c>
      <c r="N5" s="5" t="n">
        <v>47.3</v>
      </c>
      <c r="O5" s="5" t="n">
        <v>8.5</v>
      </c>
      <c r="P5" s="5" t="n">
        <v>7.5</v>
      </c>
      <c r="Q5" s="5" t="n">
        <v>8.4</v>
      </c>
      <c r="R5" s="5" t="n">
        <v>50</v>
      </c>
      <c r="S5" s="5" t="n">
        <v>52.9</v>
      </c>
      <c r="T5" s="5" t="n">
        <v>51.6</v>
      </c>
      <c r="U5" s="5" t="n">
        <v>8.5</v>
      </c>
      <c r="V5" s="5" t="n">
        <v>8.6</v>
      </c>
      <c r="W5" s="5" t="n">
        <v>8.9</v>
      </c>
      <c r="X5" s="5" t="n">
        <v>50</v>
      </c>
      <c r="Y5" s="5" t="n">
        <v>64.4</v>
      </c>
      <c r="Z5" s="5" t="n">
        <v>63.1</v>
      </c>
      <c r="AA5" s="5" t="n">
        <v>8.5</v>
      </c>
      <c r="AB5" s="5" t="n">
        <v>12.1</v>
      </c>
      <c r="AC5" s="5" t="n">
        <v>10.8</v>
      </c>
      <c r="AD5" s="5" t="n">
        <v>50</v>
      </c>
      <c r="AE5" s="5" t="n">
        <v>49.8</v>
      </c>
      <c r="AF5" s="5" t="n">
        <v>51</v>
      </c>
      <c r="AG5" s="5" t="n">
        <v>8.5</v>
      </c>
      <c r="AH5" s="5" t="n">
        <v>9.1</v>
      </c>
      <c r="AI5" s="5" t="n">
        <v>8.4</v>
      </c>
      <c r="AJ5" s="5" t="n">
        <v>50</v>
      </c>
      <c r="AK5" s="5" t="n">
        <v>46.8</v>
      </c>
      <c r="AL5" s="5" t="n">
        <v>46.8</v>
      </c>
      <c r="AM5" s="5" t="n">
        <v>8.5</v>
      </c>
      <c r="AN5" s="5" t="n">
        <v>7.9</v>
      </c>
      <c r="AO5" s="5" t="n">
        <v>7.9</v>
      </c>
      <c r="AP5" s="5" t="n">
        <v>50</v>
      </c>
      <c r="AQ5" s="5" t="n">
        <v>51.8</v>
      </c>
      <c r="AR5" s="5" t="n">
        <v>52.7</v>
      </c>
      <c r="AS5" s="5" t="n">
        <v>8.5</v>
      </c>
      <c r="AT5" s="5" t="n">
        <v>9.8</v>
      </c>
      <c r="AU5" s="5" t="n">
        <v>8.6</v>
      </c>
      <c r="AV5" s="5" t="n">
        <v>50</v>
      </c>
      <c r="AW5" s="5" t="n">
        <v>66.4</v>
      </c>
      <c r="AX5" s="5" t="n">
        <v>66</v>
      </c>
      <c r="AY5" s="5" t="n">
        <v>8.5</v>
      </c>
      <c r="AZ5" s="5" t="n">
        <v>12.3</v>
      </c>
      <c r="BA5" s="5" t="n">
        <v>10.9</v>
      </c>
      <c r="BB5" s="5" t="n">
        <v>50</v>
      </c>
      <c r="BC5" s="5" t="n">
        <v>47.5</v>
      </c>
      <c r="BD5" s="5" t="n">
        <v>47.6</v>
      </c>
      <c r="BE5" s="5" t="n">
        <v>8.5</v>
      </c>
      <c r="BF5" s="5" t="n">
        <v>8</v>
      </c>
      <c r="BG5" s="5" t="n">
        <v>7.9</v>
      </c>
      <c r="BH5" s="5" t="n">
        <v>50</v>
      </c>
      <c r="BI5" s="5" t="n">
        <v>48</v>
      </c>
      <c r="BJ5" s="5" t="n">
        <v>49.7</v>
      </c>
      <c r="BK5" s="5" t="n">
        <v>8.5</v>
      </c>
      <c r="BL5" s="5" t="n">
        <v>8.1</v>
      </c>
      <c r="BM5" s="5" t="n">
        <v>8.8</v>
      </c>
      <c r="BN5" s="5" t="n">
        <v>50</v>
      </c>
      <c r="BO5" s="5" t="n">
        <v>50.4</v>
      </c>
      <c r="BP5" s="5" t="n">
        <v>49.1</v>
      </c>
      <c r="BQ5" s="5" t="n">
        <v>8.5</v>
      </c>
      <c r="BR5" s="5" t="n">
        <v>9.6</v>
      </c>
      <c r="BS5" s="5" t="n">
        <v>8.6</v>
      </c>
      <c r="BT5" s="5" t="n">
        <v>50</v>
      </c>
      <c r="BU5" s="5" t="n">
        <v>53.8</v>
      </c>
      <c r="BV5" s="5" t="n">
        <v>55.7</v>
      </c>
      <c r="BW5" s="5" t="n">
        <v>8.5</v>
      </c>
      <c r="BX5" s="5" t="n">
        <v>9.9</v>
      </c>
      <c r="BY5" s="5" t="n">
        <v>9.2</v>
      </c>
      <c r="BZ5" s="5" t="n">
        <v>50</v>
      </c>
      <c r="CA5" s="5" t="n">
        <v>49.9</v>
      </c>
      <c r="CB5" s="5" t="n">
        <v>49.1</v>
      </c>
      <c r="CC5" s="5" t="n">
        <v>8.5</v>
      </c>
      <c r="CD5" s="5" t="n">
        <v>8.4</v>
      </c>
      <c r="CE5" s="5" t="n">
        <v>8</v>
      </c>
    </row>
    <row r="6" customFormat="false" ht="15" hidden="false" customHeight="true" outlineLevel="0" collapsed="false">
      <c r="A6" s="4" t="s">
        <v>97</v>
      </c>
      <c r="B6" s="4" t="s">
        <v>94</v>
      </c>
      <c r="C6" s="4" t="s">
        <v>98</v>
      </c>
      <c r="D6" s="4" t="s">
        <v>99</v>
      </c>
      <c r="E6" s="4" t="s">
        <v>87</v>
      </c>
      <c r="F6" s="5" t="n">
        <v>36.5</v>
      </c>
      <c r="G6" s="5" t="n">
        <v>35.8</v>
      </c>
      <c r="H6" s="5" t="n">
        <v>37.2</v>
      </c>
      <c r="I6" s="5" t="n">
        <v>9.1</v>
      </c>
      <c r="J6" s="5" t="n">
        <v>8.6</v>
      </c>
      <c r="K6" s="5" t="n">
        <v>9.6</v>
      </c>
      <c r="L6" s="5" t="n">
        <v>36.5</v>
      </c>
      <c r="M6" s="5" t="n">
        <v>49</v>
      </c>
      <c r="N6" s="5" t="n">
        <v>49</v>
      </c>
      <c r="O6" s="5" t="n">
        <v>9.1</v>
      </c>
      <c r="P6" s="5" t="n">
        <v>13.6</v>
      </c>
      <c r="Q6" s="5" t="n">
        <v>12.9</v>
      </c>
      <c r="R6" s="5" t="n">
        <v>36.5</v>
      </c>
      <c r="S6" s="5" t="n">
        <v>36.9</v>
      </c>
      <c r="T6" s="5" t="n">
        <v>37.6</v>
      </c>
      <c r="U6" s="5" t="n">
        <v>9.1</v>
      </c>
      <c r="V6" s="5" t="n">
        <v>8.6</v>
      </c>
      <c r="W6" s="5" t="n">
        <v>9.2</v>
      </c>
      <c r="X6" s="5" t="n">
        <v>36.5</v>
      </c>
      <c r="Y6" s="5" t="n">
        <v>39.3</v>
      </c>
      <c r="Z6" s="5" t="n">
        <v>39.7</v>
      </c>
      <c r="AA6" s="5" t="n">
        <v>9.1</v>
      </c>
      <c r="AB6" s="5" t="n">
        <v>10</v>
      </c>
      <c r="AC6" s="5" t="n">
        <v>10.2</v>
      </c>
      <c r="AD6" s="5" t="n">
        <v>36.5</v>
      </c>
      <c r="AE6" s="5" t="n">
        <v>33.9</v>
      </c>
      <c r="AF6" s="5" t="n">
        <v>34.3</v>
      </c>
      <c r="AG6" s="5" t="n">
        <v>9.1</v>
      </c>
      <c r="AH6" s="5" t="n">
        <v>8.6</v>
      </c>
      <c r="AI6" s="5" t="n">
        <v>8.9</v>
      </c>
      <c r="AJ6" s="5" t="n">
        <v>36.5</v>
      </c>
      <c r="AK6" s="5" t="n">
        <v>46.6</v>
      </c>
      <c r="AL6" s="5" t="n">
        <v>48.3</v>
      </c>
      <c r="AM6" s="5" t="n">
        <v>9.1</v>
      </c>
      <c r="AN6" s="5" t="n">
        <v>10.7</v>
      </c>
      <c r="AO6" s="5" t="n">
        <v>11.7</v>
      </c>
      <c r="AP6" s="5" t="n">
        <v>36.5</v>
      </c>
      <c r="AQ6" s="5" t="n">
        <v>37.1</v>
      </c>
      <c r="AR6" s="5" t="n">
        <v>37.7</v>
      </c>
      <c r="AS6" s="5" t="n">
        <v>9.1</v>
      </c>
      <c r="AT6" s="5" t="n">
        <v>8.8</v>
      </c>
      <c r="AU6" s="5" t="n">
        <v>9.1</v>
      </c>
      <c r="AV6" s="5" t="n">
        <v>36.5</v>
      </c>
      <c r="AW6" s="5" t="n">
        <v>38.8</v>
      </c>
      <c r="AX6" s="5" t="n">
        <v>38.3</v>
      </c>
      <c r="AY6" s="5" t="n">
        <v>9.1</v>
      </c>
      <c r="AZ6" s="5" t="n">
        <v>10</v>
      </c>
      <c r="BA6" s="5" t="n">
        <v>9.7</v>
      </c>
      <c r="BB6" s="5" t="n">
        <v>36.5</v>
      </c>
      <c r="BC6" s="5" t="n">
        <v>36.1</v>
      </c>
      <c r="BD6" s="5" t="n">
        <v>36.5</v>
      </c>
      <c r="BE6" s="5" t="n">
        <v>9.1</v>
      </c>
      <c r="BF6" s="5" t="n">
        <v>9.2</v>
      </c>
      <c r="BG6" s="5" t="n">
        <v>9.5</v>
      </c>
      <c r="BH6" s="5" t="n">
        <v>36.5</v>
      </c>
      <c r="BI6" s="5" t="n">
        <v>47</v>
      </c>
      <c r="BJ6" s="5" t="n">
        <v>47.9</v>
      </c>
      <c r="BK6" s="5" t="n">
        <v>9.1</v>
      </c>
      <c r="BL6" s="5" t="n">
        <v>11.2</v>
      </c>
      <c r="BM6" s="5" t="n">
        <v>11.9</v>
      </c>
      <c r="BN6" s="5" t="n">
        <v>36.5</v>
      </c>
      <c r="BO6" s="5" t="n">
        <v>37.5</v>
      </c>
      <c r="BP6" s="5" t="n">
        <v>37.2</v>
      </c>
      <c r="BQ6" s="5" t="n">
        <v>9.1</v>
      </c>
      <c r="BR6" s="5" t="n">
        <v>9.1</v>
      </c>
      <c r="BS6" s="5" t="n">
        <v>9.5</v>
      </c>
      <c r="BT6" s="5" t="n">
        <v>36.5</v>
      </c>
      <c r="BU6" s="5" t="n">
        <v>34</v>
      </c>
      <c r="BV6" s="5" t="n">
        <v>34.1</v>
      </c>
      <c r="BW6" s="5" t="n">
        <v>9.1</v>
      </c>
      <c r="BX6" s="5" t="n">
        <v>9.5</v>
      </c>
      <c r="BY6" s="5" t="n">
        <v>8.9</v>
      </c>
      <c r="BZ6" s="5" t="n">
        <v>36.5</v>
      </c>
      <c r="CA6" s="5" t="n">
        <v>34</v>
      </c>
      <c r="CB6" s="5" t="n">
        <v>33.5</v>
      </c>
      <c r="CC6" s="5" t="n">
        <v>9.1</v>
      </c>
      <c r="CD6" s="5" t="n">
        <v>8.1</v>
      </c>
      <c r="CE6" s="5" t="n">
        <v>8.7</v>
      </c>
    </row>
    <row r="7" customFormat="false" ht="15" hidden="false" customHeight="true" outlineLevel="0" collapsed="false">
      <c r="A7" s="4" t="s">
        <v>100</v>
      </c>
      <c r="B7" s="4" t="s">
        <v>94</v>
      </c>
      <c r="C7" s="4" t="s">
        <v>95</v>
      </c>
      <c r="D7" s="4" t="s">
        <v>86</v>
      </c>
      <c r="E7" s="4" t="s">
        <v>101</v>
      </c>
      <c r="F7" s="5" t="n">
        <v>65.4</v>
      </c>
      <c r="G7" s="5" t="n">
        <v>69.4</v>
      </c>
      <c r="H7" s="5" t="n">
        <v>71.6</v>
      </c>
      <c r="I7" s="5" t="n">
        <v>12.4</v>
      </c>
      <c r="J7" s="5" t="n">
        <v>12.9</v>
      </c>
      <c r="K7" s="5" t="n">
        <v>13.1</v>
      </c>
      <c r="L7" s="5" t="n">
        <v>65.4</v>
      </c>
      <c r="M7" s="5" t="n">
        <v>68.9</v>
      </c>
      <c r="N7" s="5" t="n">
        <v>70.2</v>
      </c>
      <c r="O7" s="5" t="n">
        <v>12.4</v>
      </c>
      <c r="P7" s="5" t="n">
        <v>13.5</v>
      </c>
      <c r="Q7" s="5" t="n">
        <v>14</v>
      </c>
      <c r="R7" s="5" t="n">
        <v>65.4</v>
      </c>
      <c r="S7" s="5" t="n">
        <v>90.4</v>
      </c>
      <c r="T7" s="5" t="n">
        <v>87.7</v>
      </c>
      <c r="U7" s="5" t="n">
        <v>12.4</v>
      </c>
      <c r="V7" s="5" t="n">
        <v>18.5</v>
      </c>
      <c r="W7" s="5" t="n">
        <v>16.3</v>
      </c>
      <c r="X7" s="5" t="n">
        <v>65.4</v>
      </c>
      <c r="Y7" s="5" t="n">
        <v>67.1</v>
      </c>
      <c r="Z7" s="5" t="n">
        <v>69.5</v>
      </c>
      <c r="AA7" s="5" t="n">
        <v>12.4</v>
      </c>
      <c r="AB7" s="5" t="n">
        <v>11.9</v>
      </c>
      <c r="AC7" s="5" t="n">
        <v>12.7</v>
      </c>
      <c r="AD7" s="5" t="n">
        <v>65.4</v>
      </c>
      <c r="AE7" s="5" t="n">
        <v>61.3</v>
      </c>
      <c r="AF7" s="5" t="n">
        <v>61.8</v>
      </c>
      <c r="AG7" s="5" t="n">
        <v>12.4</v>
      </c>
      <c r="AH7" s="5" t="n">
        <v>11.2</v>
      </c>
      <c r="AI7" s="5" t="n">
        <v>11.9</v>
      </c>
      <c r="AJ7" s="5" t="n">
        <v>65.4</v>
      </c>
      <c r="AK7" s="5" t="n">
        <v>67.7</v>
      </c>
      <c r="AL7" s="5" t="n">
        <v>66.6</v>
      </c>
      <c r="AM7" s="5" t="n">
        <v>12.4</v>
      </c>
      <c r="AN7" s="5" t="n">
        <v>13.4</v>
      </c>
      <c r="AO7" s="5" t="n">
        <v>12.4</v>
      </c>
      <c r="AP7" s="5" t="n">
        <v>65.4</v>
      </c>
      <c r="AQ7" s="5" t="n">
        <v>65.3</v>
      </c>
      <c r="AR7" s="5" t="n">
        <v>67.5</v>
      </c>
      <c r="AS7" s="5" t="n">
        <v>12.4</v>
      </c>
      <c r="AT7" s="5" t="n">
        <v>13.5</v>
      </c>
      <c r="AU7" s="5" t="n">
        <v>12.3</v>
      </c>
      <c r="AV7" s="5" t="n">
        <v>65.4</v>
      </c>
      <c r="AW7" s="5" t="n">
        <v>64.6</v>
      </c>
      <c r="AX7" s="5" t="n">
        <v>63.9</v>
      </c>
      <c r="AY7" s="5" t="n">
        <v>12.4</v>
      </c>
      <c r="AZ7" s="5" t="n">
        <v>11.1</v>
      </c>
      <c r="BA7" s="5" t="n">
        <v>12.5</v>
      </c>
      <c r="BB7" s="5" t="n">
        <v>65.4</v>
      </c>
      <c r="BC7" s="5" t="n">
        <v>66.8</v>
      </c>
      <c r="BD7" s="5" t="n">
        <v>66</v>
      </c>
      <c r="BE7" s="5" t="n">
        <v>12.4</v>
      </c>
      <c r="BF7" s="5" t="n">
        <v>13.5</v>
      </c>
      <c r="BG7" s="5" t="n">
        <v>12.6</v>
      </c>
      <c r="BH7" s="5" t="n">
        <v>65.4</v>
      </c>
      <c r="BI7" s="5" t="n">
        <v>64.6</v>
      </c>
      <c r="BJ7" s="5" t="n">
        <v>62.7</v>
      </c>
      <c r="BK7" s="5" t="n">
        <v>12.4</v>
      </c>
      <c r="BL7" s="5" t="n">
        <v>11.2</v>
      </c>
      <c r="BM7" s="5" t="n">
        <v>12.4</v>
      </c>
      <c r="BN7" s="5" t="n">
        <v>65.4</v>
      </c>
      <c r="BO7" s="5" t="n">
        <v>94</v>
      </c>
      <c r="BP7" s="5" t="n">
        <v>94.8</v>
      </c>
      <c r="BQ7" s="5" t="n">
        <v>12.4</v>
      </c>
      <c r="BR7" s="5" t="n">
        <v>19.4</v>
      </c>
      <c r="BS7" s="5" t="n">
        <v>18.2</v>
      </c>
      <c r="BT7" s="5" t="n">
        <v>65.4</v>
      </c>
      <c r="BU7" s="5" t="n">
        <v>61.7</v>
      </c>
      <c r="BV7" s="5" t="n">
        <v>60.4</v>
      </c>
      <c r="BW7" s="5" t="n">
        <v>12.4</v>
      </c>
      <c r="BX7" s="5" t="n">
        <v>11.3</v>
      </c>
      <c r="BY7" s="5" t="n">
        <v>11.9</v>
      </c>
      <c r="BZ7" s="5" t="n">
        <v>65.4</v>
      </c>
      <c r="CA7" s="5" t="n">
        <v>68.5</v>
      </c>
      <c r="CB7" s="5" t="n">
        <v>70.6</v>
      </c>
      <c r="CC7" s="5" t="n">
        <v>12.4</v>
      </c>
      <c r="CD7" s="5" t="n">
        <v>14.3</v>
      </c>
      <c r="CE7" s="5" t="n">
        <v>13</v>
      </c>
    </row>
    <row r="8" customFormat="false" ht="15" hidden="false" customHeight="true" outlineLevel="0" collapsed="false">
      <c r="A8" s="4" t="s">
        <v>102</v>
      </c>
      <c r="B8" s="4" t="s">
        <v>103</v>
      </c>
      <c r="C8" s="4" t="s">
        <v>85</v>
      </c>
      <c r="D8" s="4" t="s">
        <v>104</v>
      </c>
      <c r="E8" s="4" t="s">
        <v>101</v>
      </c>
      <c r="F8" s="5" t="n">
        <v>98.1</v>
      </c>
      <c r="G8" s="5" t="n">
        <v>127.1</v>
      </c>
      <c r="H8" s="5" t="n">
        <v>124.2</v>
      </c>
      <c r="I8" s="5" t="n">
        <v>20.6</v>
      </c>
      <c r="J8" s="5" t="n">
        <v>28.6</v>
      </c>
      <c r="K8" s="5" t="n">
        <v>27.1</v>
      </c>
      <c r="L8" s="5" t="n">
        <v>98.1</v>
      </c>
      <c r="M8" s="5" t="n">
        <v>96.6</v>
      </c>
      <c r="N8" s="5" t="n">
        <v>97.9</v>
      </c>
      <c r="O8" s="5" t="n">
        <v>20.6</v>
      </c>
      <c r="P8" s="5" t="n">
        <v>18.9</v>
      </c>
      <c r="Q8" s="5" t="n">
        <v>21.4</v>
      </c>
      <c r="R8" s="5" t="n">
        <v>98.1</v>
      </c>
      <c r="S8" s="5" t="n">
        <v>103.8</v>
      </c>
      <c r="T8" s="5" t="n">
        <v>107.8</v>
      </c>
      <c r="U8" s="5" t="n">
        <v>20.6</v>
      </c>
      <c r="V8" s="5" t="n">
        <v>23.5</v>
      </c>
      <c r="W8" s="5" t="n">
        <v>23.5</v>
      </c>
      <c r="X8" s="5" t="n">
        <v>98.1</v>
      </c>
      <c r="Y8" s="5" t="n">
        <v>90.6</v>
      </c>
      <c r="Z8" s="5" t="n">
        <v>92.6</v>
      </c>
      <c r="AA8" s="5" t="n">
        <v>20.6</v>
      </c>
      <c r="AB8" s="5" t="n">
        <v>18.5</v>
      </c>
      <c r="AC8" s="5" t="n">
        <v>20.3</v>
      </c>
      <c r="AD8" s="5" t="n">
        <v>98.1</v>
      </c>
      <c r="AE8" s="5" t="n">
        <v>102.8</v>
      </c>
      <c r="AF8" s="5" t="n">
        <v>105.9</v>
      </c>
      <c r="AG8" s="5" t="n">
        <v>20.6</v>
      </c>
      <c r="AH8" s="5" t="n">
        <v>23.3</v>
      </c>
      <c r="AI8" s="5" t="n">
        <v>21.7</v>
      </c>
      <c r="AJ8" s="5" t="n">
        <v>98.1</v>
      </c>
      <c r="AK8" s="5" t="n">
        <v>102.6</v>
      </c>
      <c r="AL8" s="5" t="n">
        <v>100.3</v>
      </c>
      <c r="AM8" s="5" t="n">
        <v>20.6</v>
      </c>
      <c r="AN8" s="5" t="n">
        <v>23.5</v>
      </c>
      <c r="AO8" s="5" t="n">
        <v>21.8</v>
      </c>
      <c r="AP8" s="5" t="n">
        <v>98.1</v>
      </c>
      <c r="AQ8" s="5" t="n">
        <v>126.5</v>
      </c>
      <c r="AR8" s="5" t="n">
        <v>129.9</v>
      </c>
      <c r="AS8" s="5" t="n">
        <v>20.6</v>
      </c>
      <c r="AT8" s="5" t="n">
        <v>26.6</v>
      </c>
      <c r="AU8" s="5" t="n">
        <v>26.7</v>
      </c>
      <c r="AV8" s="5" t="n">
        <v>98.1</v>
      </c>
      <c r="AW8" s="5" t="n">
        <v>102.7</v>
      </c>
      <c r="AX8" s="5" t="n">
        <v>101.3</v>
      </c>
      <c r="AY8" s="5" t="n">
        <v>20.6</v>
      </c>
      <c r="AZ8" s="5" t="n">
        <v>19.5</v>
      </c>
      <c r="BA8" s="5" t="n">
        <v>20.6</v>
      </c>
      <c r="BB8" s="5" t="n">
        <v>98.1</v>
      </c>
      <c r="BC8" s="5" t="n">
        <v>95.4</v>
      </c>
      <c r="BD8" s="5" t="n">
        <v>98.3</v>
      </c>
      <c r="BE8" s="5" t="n">
        <v>20.6</v>
      </c>
      <c r="BF8" s="5" t="n">
        <v>22.3</v>
      </c>
      <c r="BG8" s="5" t="n">
        <v>20.2</v>
      </c>
      <c r="BH8" s="5" t="n">
        <v>98.1</v>
      </c>
      <c r="BI8" s="5" t="n">
        <v>100.3</v>
      </c>
      <c r="BJ8" s="5" t="n">
        <v>100.1</v>
      </c>
      <c r="BK8" s="5" t="n">
        <v>20.6</v>
      </c>
      <c r="BL8" s="5" t="n">
        <v>23.5</v>
      </c>
      <c r="BM8" s="5" t="n">
        <v>21.1</v>
      </c>
      <c r="BN8" s="5" t="n">
        <v>98.1</v>
      </c>
      <c r="BO8" s="5" t="n">
        <v>105</v>
      </c>
      <c r="BP8" s="5" t="n">
        <v>102.7</v>
      </c>
      <c r="BQ8" s="5" t="n">
        <v>20.6</v>
      </c>
      <c r="BR8" s="5" t="n">
        <v>24.6</v>
      </c>
      <c r="BS8" s="5" t="n">
        <v>20.9</v>
      </c>
      <c r="BT8" s="5" t="n">
        <v>98.1</v>
      </c>
      <c r="BU8" s="5" t="n">
        <v>105.3</v>
      </c>
      <c r="BV8" s="5" t="n">
        <v>104.1</v>
      </c>
      <c r="BW8" s="5" t="n">
        <v>20.6</v>
      </c>
      <c r="BX8" s="5" t="n">
        <v>20.4</v>
      </c>
      <c r="BY8" s="5" t="n">
        <v>21.7</v>
      </c>
      <c r="BZ8" s="5" t="n">
        <v>98.1</v>
      </c>
      <c r="CA8" s="5" t="n">
        <v>137.2</v>
      </c>
      <c r="CB8" s="5" t="n">
        <v>136.1</v>
      </c>
      <c r="CC8" s="5" t="n">
        <v>20.6</v>
      </c>
      <c r="CD8" s="5" t="n">
        <v>29.8</v>
      </c>
      <c r="CE8" s="5" t="n">
        <v>28.6</v>
      </c>
    </row>
    <row r="9" customFormat="false" ht="15" hidden="false" customHeight="true" outlineLevel="0" collapsed="false">
      <c r="A9" s="4" t="s">
        <v>105</v>
      </c>
      <c r="B9" s="4" t="s">
        <v>103</v>
      </c>
      <c r="C9" s="4" t="s">
        <v>106</v>
      </c>
      <c r="D9" s="4" t="s">
        <v>107</v>
      </c>
      <c r="E9" s="4" t="s">
        <v>87</v>
      </c>
      <c r="F9" s="5" t="n">
        <v>23.1</v>
      </c>
      <c r="G9" s="5" t="n">
        <v>22.7</v>
      </c>
      <c r="H9" s="5" t="n">
        <v>22.9</v>
      </c>
      <c r="I9" s="5" t="n">
        <v>3.5</v>
      </c>
      <c r="J9" s="5" t="n">
        <v>3.3</v>
      </c>
      <c r="K9" s="5" t="n">
        <v>3.5</v>
      </c>
      <c r="L9" s="5" t="n">
        <v>23.1</v>
      </c>
      <c r="M9" s="5" t="n">
        <v>21.2</v>
      </c>
      <c r="N9" s="5" t="n">
        <v>21.9</v>
      </c>
      <c r="O9" s="5" t="n">
        <v>3.5</v>
      </c>
      <c r="P9" s="5" t="n">
        <v>3.2</v>
      </c>
      <c r="Q9" s="5" t="n">
        <v>3.4</v>
      </c>
      <c r="R9" s="5" t="n">
        <v>23.1</v>
      </c>
      <c r="S9" s="5" t="n">
        <v>24</v>
      </c>
      <c r="T9" s="5" t="n">
        <v>24.4</v>
      </c>
      <c r="U9" s="5" t="n">
        <v>3.5</v>
      </c>
      <c r="V9" s="5" t="n">
        <v>3.5</v>
      </c>
      <c r="W9" s="5" t="n">
        <v>3.5</v>
      </c>
      <c r="X9" s="5" t="n">
        <v>23.1</v>
      </c>
      <c r="Y9" s="5" t="n">
        <v>23.7</v>
      </c>
      <c r="Z9" s="5" t="n">
        <v>23.5</v>
      </c>
      <c r="AA9" s="5" t="n">
        <v>3.5</v>
      </c>
      <c r="AB9" s="5" t="n">
        <v>3.4</v>
      </c>
      <c r="AC9" s="5" t="n">
        <v>3.6</v>
      </c>
      <c r="AD9" s="5" t="n">
        <v>23.1</v>
      </c>
      <c r="AE9" s="5" t="n">
        <v>32.2</v>
      </c>
      <c r="AF9" s="5" t="n">
        <v>31.9</v>
      </c>
      <c r="AG9" s="5" t="n">
        <v>3.5</v>
      </c>
      <c r="AH9" s="5" t="n">
        <v>4.7</v>
      </c>
      <c r="AI9" s="5" t="n">
        <v>4.7</v>
      </c>
      <c r="AJ9" s="5" t="n">
        <v>23.1</v>
      </c>
      <c r="AK9" s="5" t="n">
        <v>22.7</v>
      </c>
      <c r="AL9" s="5" t="n">
        <v>22.5</v>
      </c>
      <c r="AM9" s="5" t="n">
        <v>3.5</v>
      </c>
      <c r="AN9" s="5" t="n">
        <v>3.2</v>
      </c>
      <c r="AO9" s="5" t="n">
        <v>3.3</v>
      </c>
      <c r="AP9" s="5" t="n">
        <v>23.1</v>
      </c>
      <c r="AQ9" s="5" t="n">
        <v>24.7</v>
      </c>
      <c r="AR9" s="5" t="n">
        <v>25.1</v>
      </c>
      <c r="AS9" s="5" t="n">
        <v>3.5</v>
      </c>
      <c r="AT9" s="5" t="n">
        <v>4.1</v>
      </c>
      <c r="AU9" s="5" t="n">
        <v>3.8</v>
      </c>
      <c r="AV9" s="5" t="n">
        <v>23.1</v>
      </c>
      <c r="AW9" s="5" t="n">
        <v>22.3</v>
      </c>
      <c r="AX9" s="5" t="n">
        <v>22.5</v>
      </c>
      <c r="AY9" s="5" t="n">
        <v>3.5</v>
      </c>
      <c r="AZ9" s="5" t="n">
        <v>3</v>
      </c>
      <c r="BA9" s="5" t="n">
        <v>3.3</v>
      </c>
      <c r="BB9" s="5" t="n">
        <v>23.1</v>
      </c>
      <c r="BC9" s="5" t="n">
        <v>30.8</v>
      </c>
      <c r="BD9" s="5" t="n">
        <v>31.1</v>
      </c>
      <c r="BE9" s="5" t="n">
        <v>3.5</v>
      </c>
      <c r="BF9" s="5" t="n">
        <v>4.8</v>
      </c>
      <c r="BG9" s="5" t="n">
        <v>4.6</v>
      </c>
      <c r="BH9" s="5" t="n">
        <v>23.1</v>
      </c>
      <c r="BI9" s="5" t="n">
        <v>22.9</v>
      </c>
      <c r="BJ9" s="5" t="n">
        <v>22.6</v>
      </c>
      <c r="BK9" s="5" t="n">
        <v>3.5</v>
      </c>
      <c r="BL9" s="5" t="n">
        <v>3.4</v>
      </c>
      <c r="BM9" s="5" t="n">
        <v>3.5</v>
      </c>
      <c r="BN9" s="5" t="n">
        <v>23.1</v>
      </c>
      <c r="BO9" s="5" t="n">
        <v>24.2</v>
      </c>
      <c r="BP9" s="5" t="n">
        <v>23.8</v>
      </c>
      <c r="BQ9" s="5" t="n">
        <v>3.5</v>
      </c>
      <c r="BR9" s="5" t="n">
        <v>3.3</v>
      </c>
      <c r="BS9" s="5" t="n">
        <v>3.6</v>
      </c>
      <c r="BT9" s="5" t="n">
        <v>23.1</v>
      </c>
      <c r="BU9" s="5" t="n">
        <v>23.6</v>
      </c>
      <c r="BV9" s="5" t="n">
        <v>23.4</v>
      </c>
      <c r="BW9" s="5" t="n">
        <v>3.5</v>
      </c>
      <c r="BX9" s="5" t="n">
        <v>3.8</v>
      </c>
      <c r="BY9" s="5" t="n">
        <v>3.6</v>
      </c>
      <c r="BZ9" s="5" t="n">
        <v>23.1</v>
      </c>
      <c r="CA9" s="5" t="n">
        <v>23.7</v>
      </c>
      <c r="CB9" s="5" t="n">
        <v>23.4</v>
      </c>
      <c r="CC9" s="5" t="n">
        <v>3.5</v>
      </c>
      <c r="CD9" s="5" t="n">
        <v>3.4</v>
      </c>
      <c r="CE9" s="5" t="n">
        <v>3.3</v>
      </c>
    </row>
    <row r="10" customFormat="false" ht="15" hidden="false" customHeight="true" outlineLevel="0" collapsed="false">
      <c r="A10" s="4" t="s">
        <v>108</v>
      </c>
      <c r="B10" s="4" t="s">
        <v>103</v>
      </c>
      <c r="C10" s="4" t="s">
        <v>106</v>
      </c>
      <c r="D10" s="4" t="s">
        <v>109</v>
      </c>
      <c r="E10" s="4" t="s">
        <v>101</v>
      </c>
      <c r="F10" s="5" t="n">
        <v>34.6</v>
      </c>
      <c r="G10" s="5" t="n">
        <v>33.2</v>
      </c>
      <c r="H10" s="5" t="n">
        <v>33.3</v>
      </c>
      <c r="I10" s="5" t="n">
        <v>5.5</v>
      </c>
      <c r="J10" s="5" t="n">
        <v>5.8</v>
      </c>
      <c r="K10" s="5" t="n">
        <v>5.1</v>
      </c>
      <c r="L10" s="5" t="n">
        <v>34.6</v>
      </c>
      <c r="M10" s="5" t="n">
        <v>34.1</v>
      </c>
      <c r="N10" s="5" t="n">
        <v>34.6</v>
      </c>
      <c r="O10" s="5" t="n">
        <v>5.5</v>
      </c>
      <c r="P10" s="5" t="n">
        <v>5.1</v>
      </c>
      <c r="Q10" s="5" t="n">
        <v>5.6</v>
      </c>
      <c r="R10" s="5" t="n">
        <v>34.6</v>
      </c>
      <c r="S10" s="5" t="n">
        <v>34.6</v>
      </c>
      <c r="T10" s="5" t="n">
        <v>34.2</v>
      </c>
      <c r="U10" s="5" t="n">
        <v>5.5</v>
      </c>
      <c r="V10" s="5" t="n">
        <v>5.8</v>
      </c>
      <c r="W10" s="5" t="n">
        <v>5.2</v>
      </c>
      <c r="X10" s="5" t="n">
        <v>34.6</v>
      </c>
      <c r="Y10" s="5" t="n">
        <v>48.6</v>
      </c>
      <c r="Z10" s="5" t="n">
        <v>49.8</v>
      </c>
      <c r="AA10" s="5" t="n">
        <v>5.5</v>
      </c>
      <c r="AB10" s="5" t="n">
        <v>7.2</v>
      </c>
      <c r="AC10" s="5" t="n">
        <v>7.9</v>
      </c>
      <c r="AD10" s="5" t="n">
        <v>34.6</v>
      </c>
      <c r="AE10" s="5" t="n">
        <v>32.8</v>
      </c>
      <c r="AF10" s="5" t="n">
        <v>34</v>
      </c>
      <c r="AG10" s="5" t="n">
        <v>5.5</v>
      </c>
      <c r="AH10" s="5" t="n">
        <v>5.3</v>
      </c>
      <c r="AI10" s="5" t="n">
        <v>5.2</v>
      </c>
      <c r="AJ10" s="5" t="n">
        <v>34.6</v>
      </c>
      <c r="AK10" s="5" t="n">
        <v>33.2</v>
      </c>
      <c r="AL10" s="5" t="n">
        <v>34.2</v>
      </c>
      <c r="AM10" s="5" t="n">
        <v>5.5</v>
      </c>
      <c r="AN10" s="5" t="n">
        <v>5.3</v>
      </c>
      <c r="AO10" s="5" t="n">
        <v>5.6</v>
      </c>
      <c r="AP10" s="5" t="n">
        <v>34.6</v>
      </c>
      <c r="AQ10" s="5" t="n">
        <v>35.5</v>
      </c>
      <c r="AR10" s="5" t="n">
        <v>36.9</v>
      </c>
      <c r="AS10" s="5" t="n">
        <v>5.5</v>
      </c>
      <c r="AT10" s="5" t="n">
        <v>5.9</v>
      </c>
      <c r="AU10" s="5" t="n">
        <v>6.2</v>
      </c>
      <c r="AV10" s="5" t="n">
        <v>34.6</v>
      </c>
      <c r="AW10" s="5" t="n">
        <v>49.7</v>
      </c>
      <c r="AX10" s="5" t="n">
        <v>50.3</v>
      </c>
      <c r="AY10" s="5" t="n">
        <v>5.5</v>
      </c>
      <c r="AZ10" s="5" t="n">
        <v>8.4</v>
      </c>
      <c r="BA10" s="5" t="n">
        <v>8.1</v>
      </c>
      <c r="BB10" s="5" t="n">
        <v>34.6</v>
      </c>
      <c r="BC10" s="5" t="n">
        <v>36.4</v>
      </c>
      <c r="BD10" s="5" t="n">
        <v>36.7</v>
      </c>
      <c r="BE10" s="5" t="n">
        <v>5.5</v>
      </c>
      <c r="BF10" s="5" t="n">
        <v>6.4</v>
      </c>
      <c r="BG10" s="5" t="n">
        <v>6</v>
      </c>
      <c r="BH10" s="5" t="n">
        <v>34.6</v>
      </c>
      <c r="BI10" s="5" t="n">
        <v>34.5</v>
      </c>
      <c r="BJ10" s="5" t="n">
        <v>34.1</v>
      </c>
      <c r="BK10" s="5" t="n">
        <v>5.5</v>
      </c>
      <c r="BL10" s="5" t="n">
        <v>5.3</v>
      </c>
      <c r="BM10" s="5" t="n">
        <v>5.5</v>
      </c>
      <c r="BN10" s="5" t="n">
        <v>34.6</v>
      </c>
      <c r="BO10" s="5" t="n">
        <v>36.1</v>
      </c>
      <c r="BP10" s="5" t="n">
        <v>36.3</v>
      </c>
      <c r="BQ10" s="5" t="n">
        <v>5.5</v>
      </c>
      <c r="BR10" s="5" t="n">
        <v>6</v>
      </c>
      <c r="BS10" s="5" t="n">
        <v>5.7</v>
      </c>
      <c r="BT10" s="5" t="n">
        <v>34.6</v>
      </c>
      <c r="BU10" s="5" t="n">
        <v>43.6</v>
      </c>
      <c r="BV10" s="5" t="n">
        <v>43.2</v>
      </c>
      <c r="BW10" s="5" t="n">
        <v>5.5</v>
      </c>
      <c r="BX10" s="5" t="n">
        <v>6.7</v>
      </c>
      <c r="BY10" s="5" t="n">
        <v>6.8</v>
      </c>
      <c r="BZ10" s="5" t="n">
        <v>34.6</v>
      </c>
      <c r="CA10" s="5" t="n">
        <v>34.8</v>
      </c>
      <c r="CB10" s="5" t="n">
        <v>34.1</v>
      </c>
      <c r="CC10" s="5" t="n">
        <v>5.5</v>
      </c>
      <c r="CD10" s="5" t="n">
        <v>5.3</v>
      </c>
      <c r="CE10" s="5" t="n">
        <v>5.6</v>
      </c>
    </row>
    <row r="11" customFormat="false" ht="15" hidden="false" customHeight="true" outlineLevel="0" collapsed="false">
      <c r="A11" s="4" t="s">
        <v>110</v>
      </c>
      <c r="B11" s="4" t="s">
        <v>84</v>
      </c>
      <c r="C11" s="4" t="s">
        <v>85</v>
      </c>
      <c r="D11" s="4" t="s">
        <v>111</v>
      </c>
      <c r="E11" s="4" t="s">
        <v>112</v>
      </c>
      <c r="F11" s="5" t="n">
        <v>125</v>
      </c>
      <c r="G11" s="5" t="n">
        <v>129.1</v>
      </c>
      <c r="H11" s="5" t="n">
        <v>125.8</v>
      </c>
      <c r="I11" s="5" t="n">
        <v>28.8</v>
      </c>
      <c r="J11" s="5" t="n">
        <v>29.4</v>
      </c>
      <c r="K11" s="5" t="n">
        <v>29.1</v>
      </c>
      <c r="L11" s="5" t="n">
        <v>125</v>
      </c>
      <c r="M11" s="5" t="n">
        <v>166.5</v>
      </c>
      <c r="N11" s="5" t="n">
        <v>163.9</v>
      </c>
      <c r="O11" s="5" t="n">
        <v>28.8</v>
      </c>
      <c r="P11" s="5" t="n">
        <v>38</v>
      </c>
      <c r="Q11" s="5" t="n">
        <v>39.2</v>
      </c>
      <c r="R11" s="5" t="n">
        <v>125</v>
      </c>
      <c r="S11" s="5" t="n">
        <v>126.7</v>
      </c>
      <c r="T11" s="5" t="n">
        <v>129.1</v>
      </c>
      <c r="U11" s="5" t="n">
        <v>28.8</v>
      </c>
      <c r="V11" s="5" t="n">
        <v>31.7</v>
      </c>
      <c r="W11" s="5" t="n">
        <v>30.5</v>
      </c>
      <c r="X11" s="5" t="n">
        <v>125</v>
      </c>
      <c r="Y11" s="5" t="n">
        <v>122.6</v>
      </c>
      <c r="Z11" s="5" t="n">
        <v>119</v>
      </c>
      <c r="AA11" s="5" t="n">
        <v>28.8</v>
      </c>
      <c r="AB11" s="5" t="n">
        <v>27.6</v>
      </c>
      <c r="AC11" s="5" t="n">
        <v>28.1</v>
      </c>
      <c r="AD11" s="5" t="n">
        <v>125</v>
      </c>
      <c r="AE11" s="5" t="n">
        <v>132.1</v>
      </c>
      <c r="AF11" s="5" t="n">
        <v>137</v>
      </c>
      <c r="AG11" s="5" t="n">
        <v>28.8</v>
      </c>
      <c r="AH11" s="5" t="n">
        <v>30.1</v>
      </c>
      <c r="AI11" s="5" t="n">
        <v>32.3</v>
      </c>
      <c r="AJ11" s="5" t="n">
        <v>125</v>
      </c>
      <c r="AK11" s="5" t="n">
        <v>170</v>
      </c>
      <c r="AL11" s="5" t="n">
        <v>172.1</v>
      </c>
      <c r="AM11" s="5" t="n">
        <v>28.8</v>
      </c>
      <c r="AN11" s="5" t="n">
        <v>37.1</v>
      </c>
      <c r="AO11" s="5" t="n">
        <v>38.5</v>
      </c>
      <c r="AP11" s="5" t="n">
        <v>125</v>
      </c>
      <c r="AQ11" s="5" t="n">
        <v>123.7</v>
      </c>
      <c r="AR11" s="5" t="n">
        <v>120.2</v>
      </c>
      <c r="AS11" s="5" t="n">
        <v>28.8</v>
      </c>
      <c r="AT11" s="5" t="n">
        <v>27.7</v>
      </c>
      <c r="AU11" s="5" t="n">
        <v>28.1</v>
      </c>
      <c r="AV11" s="5" t="n">
        <v>125</v>
      </c>
      <c r="AW11" s="5" t="n">
        <v>123.1</v>
      </c>
      <c r="AX11" s="5" t="n">
        <v>120.8</v>
      </c>
      <c r="AY11" s="5" t="n">
        <v>28.8</v>
      </c>
      <c r="AZ11" s="5" t="n">
        <v>28.4</v>
      </c>
      <c r="BA11" s="5" t="n">
        <v>26.7</v>
      </c>
      <c r="BB11" s="5" t="n">
        <v>125</v>
      </c>
      <c r="BC11" s="5" t="n">
        <v>127.4</v>
      </c>
      <c r="BD11" s="5" t="n">
        <v>123.8</v>
      </c>
      <c r="BE11" s="5" t="n">
        <v>28.8</v>
      </c>
      <c r="BF11" s="5" t="n">
        <v>28.9</v>
      </c>
      <c r="BG11" s="5" t="n">
        <v>28.7</v>
      </c>
      <c r="BH11" s="5" t="n">
        <v>125</v>
      </c>
      <c r="BI11" s="5" t="n">
        <v>156</v>
      </c>
      <c r="BJ11" s="5" t="n">
        <v>158.3</v>
      </c>
      <c r="BK11" s="5" t="n">
        <v>28.8</v>
      </c>
      <c r="BL11" s="5" t="n">
        <v>33.4</v>
      </c>
      <c r="BM11" s="5" t="n">
        <v>36.3</v>
      </c>
      <c r="BN11" s="5" t="n">
        <v>125</v>
      </c>
      <c r="BO11" s="5" t="n">
        <v>116</v>
      </c>
      <c r="BP11" s="5" t="n">
        <v>115.6</v>
      </c>
      <c r="BQ11" s="5" t="n">
        <v>28.8</v>
      </c>
      <c r="BR11" s="5" t="n">
        <v>25.3</v>
      </c>
      <c r="BS11" s="5" t="n">
        <v>26.1</v>
      </c>
      <c r="BT11" s="5" t="n">
        <v>125</v>
      </c>
      <c r="BU11" s="5" t="n">
        <v>130.2</v>
      </c>
      <c r="BV11" s="5" t="n">
        <v>129.7</v>
      </c>
      <c r="BW11" s="5" t="n">
        <v>28.8</v>
      </c>
      <c r="BX11" s="5" t="n">
        <v>31.9</v>
      </c>
      <c r="BY11" s="5" t="n">
        <v>30.8</v>
      </c>
      <c r="BZ11" s="5" t="n">
        <v>125</v>
      </c>
      <c r="CA11" s="5" t="n">
        <v>120</v>
      </c>
      <c r="CB11" s="5" t="n">
        <v>117.1</v>
      </c>
      <c r="CC11" s="5" t="n">
        <v>28.8</v>
      </c>
      <c r="CD11" s="5" t="n">
        <v>25</v>
      </c>
      <c r="CE11" s="5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4"/>
    <col collapsed="false" customWidth="true" hidden="false" outlineLevel="0" max="19" min="5" style="1" width="15"/>
  </cols>
  <sheetData>
    <row r="1" customFormat="false" ht="27.75" hidden="false" customHeight="true" outlineLevel="0" collapsed="false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42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4</v>
      </c>
      <c r="E2" s="3" t="s">
        <v>114</v>
      </c>
      <c r="F2" s="3" t="s">
        <v>115</v>
      </c>
      <c r="G2" s="3" t="s">
        <v>116</v>
      </c>
      <c r="H2" s="3" t="s">
        <v>117</v>
      </c>
      <c r="I2" s="3" t="s">
        <v>118</v>
      </c>
      <c r="J2" s="3" t="s">
        <v>119</v>
      </c>
      <c r="K2" s="3" t="s">
        <v>120</v>
      </c>
      <c r="L2" s="7" t="s">
        <v>121</v>
      </c>
      <c r="M2" s="7" t="s">
        <v>122</v>
      </c>
      <c r="N2" s="7" t="s">
        <v>123</v>
      </c>
      <c r="O2" s="7" t="s">
        <v>124</v>
      </c>
      <c r="P2" s="7" t="s">
        <v>125</v>
      </c>
      <c r="Q2" s="3" t="s">
        <v>126</v>
      </c>
      <c r="R2" s="3" t="s">
        <v>127</v>
      </c>
      <c r="S2" s="3" t="s">
        <v>128</v>
      </c>
    </row>
    <row r="3" customFormat="false" ht="15" hidden="false" customHeight="true" outlineLevel="0" collapsed="false">
      <c r="A3" s="4" t="s">
        <v>83</v>
      </c>
      <c r="B3" s="4" t="s">
        <v>84</v>
      </c>
      <c r="C3" s="4" t="s">
        <v>85</v>
      </c>
      <c r="D3" s="4" t="s">
        <v>87</v>
      </c>
      <c r="E3" s="8" t="n">
        <f aca="false">'Weekly Raw Data'!F2+'Weekly Raw Data'!L2+'Weekly Raw Data'!R2+'Weekly Raw Data'!X2+'Weekly Raw Data'!AD2+'Weekly Raw Data'!AJ2+'Weekly Raw Data'!AP2+'Weekly Raw Data'!AV2+'Weekly Raw Data'!BB2+'Weekly Raw Data'!BH2+'Weekly Raw Data'!BN2+'Weekly Raw Data'!BT2+'Weekly Raw Data'!BZ2</f>
        <v>1050.4</v>
      </c>
      <c r="F3" s="8" t="n">
        <f aca="false">'Weekly Raw Data'!G2+'Weekly Raw Data'!M2+'Weekly Raw Data'!S2+'Weekly Raw Data'!Y2+'Weekly Raw Data'!AE2+'Weekly Raw Data'!AK2+'Weekly Raw Data'!AQ2+'Weekly Raw Data'!AW2+'Weekly Raw Data'!BC2+'Weekly Raw Data'!BI2+'Weekly Raw Data'!BO2+'Weekly Raw Data'!BU2+'Weekly Raw Data'!CA2</f>
        <v>1151.1</v>
      </c>
      <c r="G3" s="8" t="n">
        <f aca="false">'Weekly Raw Data'!H2+'Weekly Raw Data'!N2+'Weekly Raw Data'!T2+'Weekly Raw Data'!Z2+'Weekly Raw Data'!AF2+'Weekly Raw Data'!AL2+'Weekly Raw Data'!AR2+'Weekly Raw Data'!AX2+'Weekly Raw Data'!BD2+'Weekly Raw Data'!BJ2+'Weekly Raw Data'!BP2+'Weekly Raw Data'!BV2+'Weekly Raw Data'!CB2</f>
        <v>1151.9</v>
      </c>
      <c r="H3" s="9" t="n">
        <f aca="false">F3-E3</f>
        <v>100.7</v>
      </c>
      <c r="I3" s="10" t="n">
        <f aca="false">IF(E3&lt;&gt;0,(F3-E3)/E3,0)</f>
        <v>0.0958682406702209</v>
      </c>
      <c r="J3" s="9" t="n">
        <f aca="false">G3-E3</f>
        <v>101.5</v>
      </c>
      <c r="K3" s="10" t="n">
        <f aca="false">IF(E3&lt;&gt;0,(G3-E3)/E3,0)</f>
        <v>0.0966298552932216</v>
      </c>
      <c r="L3" s="8" t="n">
        <f aca="false">'Weekly Raw Data'!I2+'Weekly Raw Data'!O2+'Weekly Raw Data'!U2+'Weekly Raw Data'!AA2+'Weekly Raw Data'!AG2+'Weekly Raw Data'!AM2+'Weekly Raw Data'!AS2+'Weekly Raw Data'!AY2+'Weekly Raw Data'!BE2+'Weekly Raw Data'!BK2+'Weekly Raw Data'!BQ2+'Weekly Raw Data'!BW2+'Weekly Raw Data'!CC2</f>
        <v>188.5</v>
      </c>
      <c r="M3" s="8" t="n">
        <f aca="false">'Weekly Raw Data'!J2+'Weekly Raw Data'!P2+'Weekly Raw Data'!V2+'Weekly Raw Data'!AB2+'Weekly Raw Data'!AH2+'Weekly Raw Data'!AN2+'Weekly Raw Data'!AT2+'Weekly Raw Data'!AZ2+'Weekly Raw Data'!BF2+'Weekly Raw Data'!BL2+'Weekly Raw Data'!BR2+'Weekly Raw Data'!BX2+'Weekly Raw Data'!CD2</f>
        <v>208.5</v>
      </c>
      <c r="N3" s="8" t="n">
        <f aca="false">'Weekly Raw Data'!K2+'Weekly Raw Data'!Q2+'Weekly Raw Data'!W2+'Weekly Raw Data'!AC2+'Weekly Raw Data'!AI2+'Weekly Raw Data'!AO2+'Weekly Raw Data'!AU2+'Weekly Raw Data'!BA2+'Weekly Raw Data'!BG2+'Weekly Raw Data'!BM2+'Weekly Raw Data'!BS2+'Weekly Raw Data'!BY2+'Weekly Raw Data'!CE2</f>
        <v>203.9</v>
      </c>
      <c r="O3" s="9" t="n">
        <f aca="false">M3-L3</f>
        <v>20</v>
      </c>
      <c r="P3" s="10" t="n">
        <f aca="false">IF(L3&lt;&gt;0,(M3-L3)/L3,0)</f>
        <v>0.106100795755968</v>
      </c>
      <c r="Q3" s="8" t="n">
        <f aca="false">F3-M3</f>
        <v>942.6</v>
      </c>
      <c r="R3" s="8" t="n">
        <f aca="false">E3-L3</f>
        <v>861.9</v>
      </c>
      <c r="S3" s="9" t="n">
        <f aca="false">Q3-R3</f>
        <v>80.7000000000001</v>
      </c>
    </row>
    <row r="4" customFormat="false" ht="15" hidden="false" customHeight="true" outlineLevel="0" collapsed="false">
      <c r="A4" s="4" t="s">
        <v>88</v>
      </c>
      <c r="B4" s="4" t="s">
        <v>84</v>
      </c>
      <c r="C4" s="4" t="s">
        <v>85</v>
      </c>
      <c r="D4" s="4" t="s">
        <v>87</v>
      </c>
      <c r="E4" s="8" t="n">
        <f aca="false">'Weekly Raw Data'!F3+'Weekly Raw Data'!L3+'Weekly Raw Data'!R3+'Weekly Raw Data'!X3+'Weekly Raw Data'!AD3+'Weekly Raw Data'!AJ3+'Weekly Raw Data'!AP3+'Weekly Raw Data'!AV3+'Weekly Raw Data'!BB3+'Weekly Raw Data'!BH3+'Weekly Raw Data'!BN3+'Weekly Raw Data'!BT3+'Weekly Raw Data'!BZ3</f>
        <v>1950</v>
      </c>
      <c r="F4" s="8" t="n">
        <f aca="false">'Weekly Raw Data'!G3+'Weekly Raw Data'!M3+'Weekly Raw Data'!S3+'Weekly Raw Data'!Y3+'Weekly Raw Data'!AE3+'Weekly Raw Data'!AK3+'Weekly Raw Data'!AQ3+'Weekly Raw Data'!AW3+'Weekly Raw Data'!BC3+'Weekly Raw Data'!BI3+'Weekly Raw Data'!BO3+'Weekly Raw Data'!BU3+'Weekly Raw Data'!CA3</f>
        <v>2135.1</v>
      </c>
      <c r="G4" s="8" t="n">
        <f aca="false">'Weekly Raw Data'!H3+'Weekly Raw Data'!N3+'Weekly Raw Data'!T3+'Weekly Raw Data'!Z3+'Weekly Raw Data'!AF3+'Weekly Raw Data'!AL3+'Weekly Raw Data'!AR3+'Weekly Raw Data'!AX3+'Weekly Raw Data'!BD3+'Weekly Raw Data'!BJ3+'Weekly Raw Data'!BP3+'Weekly Raw Data'!BV3+'Weekly Raw Data'!CB3</f>
        <v>2143.9</v>
      </c>
      <c r="H4" s="9" t="n">
        <f aca="false">F4-E4</f>
        <v>185.1</v>
      </c>
      <c r="I4" s="10" t="n">
        <f aca="false">IF(E4&lt;&gt;0,(F4-E4)/E4,0)</f>
        <v>0.0949230769230769</v>
      </c>
      <c r="J4" s="9" t="n">
        <f aca="false">G4-E4</f>
        <v>193.900000000001</v>
      </c>
      <c r="K4" s="10" t="n">
        <f aca="false">IF(E4&lt;&gt;0,(G4-E4)/E4,0)</f>
        <v>0.0994358974358977</v>
      </c>
      <c r="L4" s="8" t="n">
        <f aca="false">'Weekly Raw Data'!I3+'Weekly Raw Data'!O3+'Weekly Raw Data'!U3+'Weekly Raw Data'!AA3+'Weekly Raw Data'!AG3+'Weekly Raw Data'!AM3+'Weekly Raw Data'!AS3+'Weekly Raw Data'!AY3+'Weekly Raw Data'!BE3+'Weekly Raw Data'!BK3+'Weekly Raw Data'!BQ3+'Weekly Raw Data'!BW3+'Weekly Raw Data'!CC3</f>
        <v>390</v>
      </c>
      <c r="M4" s="8" t="n">
        <f aca="false">'Weekly Raw Data'!J3+'Weekly Raw Data'!P3+'Weekly Raw Data'!V3+'Weekly Raw Data'!AB3+'Weekly Raw Data'!AH3+'Weekly Raw Data'!AN3+'Weekly Raw Data'!AT3+'Weekly Raw Data'!AZ3+'Weekly Raw Data'!BF3+'Weekly Raw Data'!BL3+'Weekly Raw Data'!BR3+'Weekly Raw Data'!BX3+'Weekly Raw Data'!CD3</f>
        <v>427.7</v>
      </c>
      <c r="N4" s="8" t="n">
        <f aca="false">'Weekly Raw Data'!K3+'Weekly Raw Data'!Q3+'Weekly Raw Data'!W3+'Weekly Raw Data'!AC3+'Weekly Raw Data'!AI3+'Weekly Raw Data'!AO3+'Weekly Raw Data'!AU3+'Weekly Raw Data'!BA3+'Weekly Raw Data'!BG3+'Weekly Raw Data'!BM3+'Weekly Raw Data'!BS3+'Weekly Raw Data'!BY3+'Weekly Raw Data'!CE3</f>
        <v>430.2</v>
      </c>
      <c r="O4" s="9" t="n">
        <f aca="false">M4-L4</f>
        <v>37.7</v>
      </c>
      <c r="P4" s="10" t="n">
        <f aca="false">IF(L4&lt;&gt;0,(M4-L4)/L4,0)</f>
        <v>0.0966666666666668</v>
      </c>
      <c r="Q4" s="8" t="n">
        <f aca="false">F4-M4</f>
        <v>1707.4</v>
      </c>
      <c r="R4" s="8" t="n">
        <f aca="false">E4-L4</f>
        <v>1560</v>
      </c>
      <c r="S4" s="9" t="n">
        <f aca="false">Q4-R4</f>
        <v>147.4</v>
      </c>
    </row>
    <row r="5" customFormat="false" ht="15" hidden="false" customHeight="true" outlineLevel="0" collapsed="false">
      <c r="A5" s="4" t="s">
        <v>90</v>
      </c>
      <c r="B5" s="4" t="s">
        <v>84</v>
      </c>
      <c r="C5" s="4" t="s">
        <v>91</v>
      </c>
      <c r="D5" s="4" t="s">
        <v>87</v>
      </c>
      <c r="E5" s="8" t="n">
        <f aca="false">'Weekly Raw Data'!F4+'Weekly Raw Data'!L4+'Weekly Raw Data'!R4+'Weekly Raw Data'!X4+'Weekly Raw Data'!AD4+'Weekly Raw Data'!AJ4+'Weekly Raw Data'!AP4+'Weekly Raw Data'!AV4+'Weekly Raw Data'!BB4+'Weekly Raw Data'!BH4+'Weekly Raw Data'!BN4+'Weekly Raw Data'!BT4+'Weekly Raw Data'!BZ4</f>
        <v>774.8</v>
      </c>
      <c r="F5" s="8" t="n">
        <f aca="false">'Weekly Raw Data'!G4+'Weekly Raw Data'!M4+'Weekly Raw Data'!S4+'Weekly Raw Data'!Y4+'Weekly Raw Data'!AE4+'Weekly Raw Data'!AK4+'Weekly Raw Data'!AQ4+'Weekly Raw Data'!AW4+'Weekly Raw Data'!BC4+'Weekly Raw Data'!BI4+'Weekly Raw Data'!BO4+'Weekly Raw Data'!BU4+'Weekly Raw Data'!CA4</f>
        <v>848.9</v>
      </c>
      <c r="G5" s="8" t="n">
        <f aca="false">'Weekly Raw Data'!H4+'Weekly Raw Data'!N4+'Weekly Raw Data'!T4+'Weekly Raw Data'!Z4+'Weekly Raw Data'!AF4+'Weekly Raw Data'!AL4+'Weekly Raw Data'!AR4+'Weekly Raw Data'!AX4+'Weekly Raw Data'!BD4+'Weekly Raw Data'!BJ4+'Weekly Raw Data'!BP4+'Weekly Raw Data'!BV4+'Weekly Raw Data'!CB4</f>
        <v>857.8</v>
      </c>
      <c r="H5" s="9" t="n">
        <f aca="false">F5-E5</f>
        <v>74.0999999999997</v>
      </c>
      <c r="I5" s="10" t="n">
        <f aca="false">IF(E5&lt;&gt;0,(F5-E5)/E5,0)</f>
        <v>0.095637583892617</v>
      </c>
      <c r="J5" s="9" t="n">
        <f aca="false">G5-E5</f>
        <v>82.9999999999998</v>
      </c>
      <c r="K5" s="10" t="n">
        <f aca="false">IF(E5&lt;&gt;0,(G5-E5)/E5,0)</f>
        <v>0.107124419204956</v>
      </c>
      <c r="L5" s="8" t="n">
        <f aca="false">'Weekly Raw Data'!I4+'Weekly Raw Data'!O4+'Weekly Raw Data'!U4+'Weekly Raw Data'!AA4+'Weekly Raw Data'!AG4+'Weekly Raw Data'!AM4+'Weekly Raw Data'!AS4+'Weekly Raw Data'!AY4+'Weekly Raw Data'!BE4+'Weekly Raw Data'!BK4+'Weekly Raw Data'!BQ4+'Weekly Raw Data'!BW4+'Weekly Raw Data'!CC4</f>
        <v>170.3</v>
      </c>
      <c r="M5" s="8" t="n">
        <f aca="false">'Weekly Raw Data'!J4+'Weekly Raw Data'!P4+'Weekly Raw Data'!V4+'Weekly Raw Data'!AB4+'Weekly Raw Data'!AH4+'Weekly Raw Data'!AN4+'Weekly Raw Data'!AT4+'Weekly Raw Data'!AZ4+'Weekly Raw Data'!BF4+'Weekly Raw Data'!BL4+'Weekly Raw Data'!BR4+'Weekly Raw Data'!BX4+'Weekly Raw Data'!CD4</f>
        <v>188</v>
      </c>
      <c r="N5" s="8" t="n">
        <f aca="false">'Weekly Raw Data'!K4+'Weekly Raw Data'!Q4+'Weekly Raw Data'!W4+'Weekly Raw Data'!AC4+'Weekly Raw Data'!AI4+'Weekly Raw Data'!AO4+'Weekly Raw Data'!AU4+'Weekly Raw Data'!BA4+'Weekly Raw Data'!BG4+'Weekly Raw Data'!BM4+'Weekly Raw Data'!BS4+'Weekly Raw Data'!BY4+'Weekly Raw Data'!CE4</f>
        <v>188.3</v>
      </c>
      <c r="O5" s="9" t="n">
        <f aca="false">M5-L5</f>
        <v>17.7</v>
      </c>
      <c r="P5" s="10" t="n">
        <f aca="false">IF(L5&lt;&gt;0,(M5-L5)/L5,0)</f>
        <v>0.103934233705226</v>
      </c>
      <c r="Q5" s="8" t="n">
        <f aca="false">F5-M5</f>
        <v>660.9</v>
      </c>
      <c r="R5" s="8" t="n">
        <f aca="false">E5-L5</f>
        <v>604.5</v>
      </c>
      <c r="S5" s="9" t="n">
        <f aca="false">Q5-R5</f>
        <v>56.3999999999996</v>
      </c>
    </row>
    <row r="6" customFormat="false" ht="15" hidden="false" customHeight="true" outlineLevel="0" collapsed="false">
      <c r="A6" s="4" t="s">
        <v>93</v>
      </c>
      <c r="B6" s="4" t="s">
        <v>94</v>
      </c>
      <c r="C6" s="4" t="s">
        <v>95</v>
      </c>
      <c r="D6" s="4" t="s">
        <v>87</v>
      </c>
      <c r="E6" s="8" t="n">
        <f aca="false">'Weekly Raw Data'!F5+'Weekly Raw Data'!L5+'Weekly Raw Data'!R5+'Weekly Raw Data'!X5+'Weekly Raw Data'!AD5+'Weekly Raw Data'!AJ5+'Weekly Raw Data'!AP5+'Weekly Raw Data'!AV5+'Weekly Raw Data'!BB5+'Weekly Raw Data'!BH5+'Weekly Raw Data'!BN5+'Weekly Raw Data'!BT5+'Weekly Raw Data'!BZ5</f>
        <v>650</v>
      </c>
      <c r="F6" s="8" t="n">
        <f aca="false">'Weekly Raw Data'!G5+'Weekly Raw Data'!M5+'Weekly Raw Data'!S5+'Weekly Raw Data'!Y5+'Weekly Raw Data'!AE5+'Weekly Raw Data'!AK5+'Weekly Raw Data'!AQ5+'Weekly Raw Data'!AW5+'Weekly Raw Data'!BC5+'Weekly Raw Data'!BI5+'Weekly Raw Data'!BO5+'Weekly Raw Data'!BU5+'Weekly Raw Data'!CA5</f>
        <v>677</v>
      </c>
      <c r="G6" s="8" t="n">
        <f aca="false">'Weekly Raw Data'!H5+'Weekly Raw Data'!N5+'Weekly Raw Data'!T5+'Weekly Raw Data'!Z5+'Weekly Raw Data'!AF5+'Weekly Raw Data'!AL5+'Weekly Raw Data'!AR5+'Weekly Raw Data'!AX5+'Weekly Raw Data'!BD5+'Weekly Raw Data'!BJ5+'Weekly Raw Data'!BP5+'Weekly Raw Data'!BV5+'Weekly Raw Data'!CB5</f>
        <v>678.9</v>
      </c>
      <c r="H6" s="9" t="n">
        <f aca="false">F6-E6</f>
        <v>27</v>
      </c>
      <c r="I6" s="10" t="n">
        <f aca="false">IF(E6&lt;&gt;0,(F6-E6)/E6,0)</f>
        <v>0.0415384615384615</v>
      </c>
      <c r="J6" s="9" t="n">
        <f aca="false">G6-E6</f>
        <v>28.9000000000001</v>
      </c>
      <c r="K6" s="10" t="n">
        <f aca="false">IF(E6&lt;&gt;0,(G6-E6)/E6,0)</f>
        <v>0.0444615384615386</v>
      </c>
      <c r="L6" s="8" t="n">
        <f aca="false">'Weekly Raw Data'!I5+'Weekly Raw Data'!O5+'Weekly Raw Data'!U5+'Weekly Raw Data'!AA5+'Weekly Raw Data'!AG5+'Weekly Raw Data'!AM5+'Weekly Raw Data'!AS5+'Weekly Raw Data'!AY5+'Weekly Raw Data'!BE5+'Weekly Raw Data'!BK5+'Weekly Raw Data'!BQ5+'Weekly Raw Data'!BW5+'Weekly Raw Data'!CC5</f>
        <v>110.5</v>
      </c>
      <c r="M6" s="8" t="n">
        <f aca="false">'Weekly Raw Data'!J5+'Weekly Raw Data'!P5+'Weekly Raw Data'!V5+'Weekly Raw Data'!AB5+'Weekly Raw Data'!AH5+'Weekly Raw Data'!AN5+'Weekly Raw Data'!AT5+'Weekly Raw Data'!AZ5+'Weekly Raw Data'!BF5+'Weekly Raw Data'!BL5+'Weekly Raw Data'!BR5+'Weekly Raw Data'!BX5+'Weekly Raw Data'!CD5</f>
        <v>119.2</v>
      </c>
      <c r="N6" s="8" t="n">
        <f aca="false">'Weekly Raw Data'!K5+'Weekly Raw Data'!Q5+'Weekly Raw Data'!W5+'Weekly Raw Data'!AC5+'Weekly Raw Data'!AI5+'Weekly Raw Data'!AO5+'Weekly Raw Data'!AU5+'Weekly Raw Data'!BA5+'Weekly Raw Data'!BG5+'Weekly Raw Data'!BM5+'Weekly Raw Data'!BS5+'Weekly Raw Data'!BY5+'Weekly Raw Data'!CE5</f>
        <v>114.5</v>
      </c>
      <c r="O6" s="9" t="n">
        <f aca="false">M6-L6</f>
        <v>8.7</v>
      </c>
      <c r="P6" s="10" t="n">
        <f aca="false">IF(L6&lt;&gt;0,(M6-L6)/L6,0)</f>
        <v>0.0787330316742082</v>
      </c>
      <c r="Q6" s="8" t="n">
        <f aca="false">F6-M6</f>
        <v>557.8</v>
      </c>
      <c r="R6" s="8" t="n">
        <f aca="false">E6-L6</f>
        <v>539.5</v>
      </c>
      <c r="S6" s="9" t="n">
        <f aca="false">Q6-R6</f>
        <v>18.3</v>
      </c>
    </row>
    <row r="7" customFormat="false" ht="15" hidden="false" customHeight="true" outlineLevel="0" collapsed="false">
      <c r="A7" s="4" t="s">
        <v>97</v>
      </c>
      <c r="B7" s="4" t="s">
        <v>94</v>
      </c>
      <c r="C7" s="4" t="s">
        <v>98</v>
      </c>
      <c r="D7" s="4" t="s">
        <v>87</v>
      </c>
      <c r="E7" s="8" t="n">
        <f aca="false">'Weekly Raw Data'!F6+'Weekly Raw Data'!L6+'Weekly Raw Data'!R6+'Weekly Raw Data'!X6+'Weekly Raw Data'!AD6+'Weekly Raw Data'!AJ6+'Weekly Raw Data'!AP6+'Weekly Raw Data'!AV6+'Weekly Raw Data'!BB6+'Weekly Raw Data'!BH6+'Weekly Raw Data'!BN6+'Weekly Raw Data'!BT6+'Weekly Raw Data'!BZ6</f>
        <v>474.5</v>
      </c>
      <c r="F7" s="8" t="n">
        <f aca="false">'Weekly Raw Data'!G6+'Weekly Raw Data'!M6+'Weekly Raw Data'!S6+'Weekly Raw Data'!Y6+'Weekly Raw Data'!AE6+'Weekly Raw Data'!AK6+'Weekly Raw Data'!AQ6+'Weekly Raw Data'!AW6+'Weekly Raw Data'!BC6+'Weekly Raw Data'!BI6+'Weekly Raw Data'!BO6+'Weekly Raw Data'!BU6+'Weekly Raw Data'!CA6</f>
        <v>506</v>
      </c>
      <c r="G7" s="8" t="n">
        <f aca="false">'Weekly Raw Data'!H6+'Weekly Raw Data'!N6+'Weekly Raw Data'!T6+'Weekly Raw Data'!Z6+'Weekly Raw Data'!AF6+'Weekly Raw Data'!AL6+'Weekly Raw Data'!AR6+'Weekly Raw Data'!AX6+'Weekly Raw Data'!BD6+'Weekly Raw Data'!BJ6+'Weekly Raw Data'!BP6+'Weekly Raw Data'!BV6+'Weekly Raw Data'!CB6</f>
        <v>511.3</v>
      </c>
      <c r="H7" s="9" t="n">
        <f aca="false">F7-E7</f>
        <v>31.5000000000001</v>
      </c>
      <c r="I7" s="10" t="n">
        <f aca="false">IF(E7&lt;&gt;0,(F7-E7)/E7,0)</f>
        <v>0.0663856691253953</v>
      </c>
      <c r="J7" s="9" t="n">
        <f aca="false">G7-E7</f>
        <v>36.8</v>
      </c>
      <c r="K7" s="10" t="n">
        <f aca="false">IF(E7&lt;&gt;0,(G7-E7)/E7,0)</f>
        <v>0.0775553213909379</v>
      </c>
      <c r="L7" s="8" t="n">
        <f aca="false">'Weekly Raw Data'!I6+'Weekly Raw Data'!O6+'Weekly Raw Data'!U6+'Weekly Raw Data'!AA6+'Weekly Raw Data'!AG6+'Weekly Raw Data'!AM6+'Weekly Raw Data'!AS6+'Weekly Raw Data'!AY6+'Weekly Raw Data'!BE6+'Weekly Raw Data'!BK6+'Weekly Raw Data'!BQ6+'Weekly Raw Data'!BW6+'Weekly Raw Data'!CC6</f>
        <v>118.3</v>
      </c>
      <c r="M7" s="8" t="n">
        <f aca="false">'Weekly Raw Data'!J6+'Weekly Raw Data'!P6+'Weekly Raw Data'!V6+'Weekly Raw Data'!AB6+'Weekly Raw Data'!AH6+'Weekly Raw Data'!AN6+'Weekly Raw Data'!AT6+'Weekly Raw Data'!AZ6+'Weekly Raw Data'!BF6+'Weekly Raw Data'!BL6+'Weekly Raw Data'!BR6+'Weekly Raw Data'!BX6+'Weekly Raw Data'!CD6</f>
        <v>126</v>
      </c>
      <c r="N7" s="8" t="n">
        <f aca="false">'Weekly Raw Data'!K6+'Weekly Raw Data'!Q6+'Weekly Raw Data'!W6+'Weekly Raw Data'!AC6+'Weekly Raw Data'!AI6+'Weekly Raw Data'!AO6+'Weekly Raw Data'!AU6+'Weekly Raw Data'!BA6+'Weekly Raw Data'!BG6+'Weekly Raw Data'!BM6+'Weekly Raw Data'!BS6+'Weekly Raw Data'!BY6+'Weekly Raw Data'!CE6</f>
        <v>129.8</v>
      </c>
      <c r="O7" s="9" t="n">
        <f aca="false">M7-L7</f>
        <v>7.70000000000002</v>
      </c>
      <c r="P7" s="10" t="n">
        <f aca="false">IF(L7&lt;&gt;0,(M7-L7)/L7,0)</f>
        <v>0.0650887573964499</v>
      </c>
      <c r="Q7" s="8" t="n">
        <f aca="false">F7-M7</f>
        <v>380</v>
      </c>
      <c r="R7" s="8" t="n">
        <f aca="false">E7-L7</f>
        <v>356.2</v>
      </c>
      <c r="S7" s="9" t="n">
        <f aca="false">Q7-R7</f>
        <v>23.8</v>
      </c>
    </row>
    <row r="8" customFormat="false" ht="15" hidden="false" customHeight="true" outlineLevel="0" collapsed="false">
      <c r="A8" s="4" t="s">
        <v>100</v>
      </c>
      <c r="B8" s="4" t="s">
        <v>94</v>
      </c>
      <c r="C8" s="4" t="s">
        <v>95</v>
      </c>
      <c r="D8" s="4" t="s">
        <v>101</v>
      </c>
      <c r="E8" s="8" t="n">
        <f aca="false">'Weekly Raw Data'!F7+'Weekly Raw Data'!L7+'Weekly Raw Data'!R7+'Weekly Raw Data'!X7+'Weekly Raw Data'!AD7+'Weekly Raw Data'!AJ7+'Weekly Raw Data'!AP7+'Weekly Raw Data'!AV7+'Weekly Raw Data'!BB7+'Weekly Raw Data'!BH7+'Weekly Raw Data'!BN7+'Weekly Raw Data'!BT7+'Weekly Raw Data'!BZ7</f>
        <v>850.2</v>
      </c>
      <c r="F8" s="8" t="n">
        <f aca="false">'Weekly Raw Data'!G7+'Weekly Raw Data'!M7+'Weekly Raw Data'!S7+'Weekly Raw Data'!Y7+'Weekly Raw Data'!AE7+'Weekly Raw Data'!AK7+'Weekly Raw Data'!AQ7+'Weekly Raw Data'!AW7+'Weekly Raw Data'!BC7+'Weekly Raw Data'!BI7+'Weekly Raw Data'!BO7+'Weekly Raw Data'!BU7+'Weekly Raw Data'!CA7</f>
        <v>910.3</v>
      </c>
      <c r="G8" s="8" t="n">
        <f aca="false">'Weekly Raw Data'!H7+'Weekly Raw Data'!N7+'Weekly Raw Data'!T7+'Weekly Raw Data'!Z7+'Weekly Raw Data'!AF7+'Weekly Raw Data'!AL7+'Weekly Raw Data'!AR7+'Weekly Raw Data'!AX7+'Weekly Raw Data'!BD7+'Weekly Raw Data'!BJ7+'Weekly Raw Data'!BP7+'Weekly Raw Data'!BV7+'Weekly Raw Data'!CB7</f>
        <v>913.3</v>
      </c>
      <c r="H8" s="9" t="n">
        <f aca="false">F8-E8</f>
        <v>60.1000000000003</v>
      </c>
      <c r="I8" s="10" t="n">
        <f aca="false">IF(E8&lt;&gt;0,(F8-E8)/E8,0)</f>
        <v>0.0706892495883325</v>
      </c>
      <c r="J8" s="9" t="n">
        <f aca="false">G8-E8</f>
        <v>63.1000000000001</v>
      </c>
      <c r="K8" s="10" t="n">
        <f aca="false">IF(E8&lt;&gt;0,(G8-E8)/E8,0)</f>
        <v>0.0742178310985652</v>
      </c>
      <c r="L8" s="8" t="n">
        <f aca="false">'Weekly Raw Data'!I7+'Weekly Raw Data'!O7+'Weekly Raw Data'!U7+'Weekly Raw Data'!AA7+'Weekly Raw Data'!AG7+'Weekly Raw Data'!AM7+'Weekly Raw Data'!AS7+'Weekly Raw Data'!AY7+'Weekly Raw Data'!BE7+'Weekly Raw Data'!BK7+'Weekly Raw Data'!BQ7+'Weekly Raw Data'!BW7+'Weekly Raw Data'!CC7</f>
        <v>161.2</v>
      </c>
      <c r="M8" s="8" t="n">
        <f aca="false">'Weekly Raw Data'!J7+'Weekly Raw Data'!P7+'Weekly Raw Data'!V7+'Weekly Raw Data'!AB7+'Weekly Raw Data'!AH7+'Weekly Raw Data'!AN7+'Weekly Raw Data'!AT7+'Weekly Raw Data'!AZ7+'Weekly Raw Data'!BF7+'Weekly Raw Data'!BL7+'Weekly Raw Data'!BR7+'Weekly Raw Data'!BX7+'Weekly Raw Data'!CD7</f>
        <v>175.7</v>
      </c>
      <c r="N8" s="8" t="n">
        <f aca="false">'Weekly Raw Data'!K7+'Weekly Raw Data'!Q7+'Weekly Raw Data'!W7+'Weekly Raw Data'!AC7+'Weekly Raw Data'!AI7+'Weekly Raw Data'!AO7+'Weekly Raw Data'!AU7+'Weekly Raw Data'!BA7+'Weekly Raw Data'!BG7+'Weekly Raw Data'!BM7+'Weekly Raw Data'!BS7+'Weekly Raw Data'!BY7+'Weekly Raw Data'!CE7</f>
        <v>173.3</v>
      </c>
      <c r="O8" s="9" t="n">
        <f aca="false">M8-L8</f>
        <v>14.5</v>
      </c>
      <c r="P8" s="10" t="n">
        <f aca="false">IF(L8&lt;&gt;0,(M8-L8)/L8,0)</f>
        <v>0.0899503722084365</v>
      </c>
      <c r="Q8" s="8" t="n">
        <f aca="false">F8-M8</f>
        <v>734.6</v>
      </c>
      <c r="R8" s="8" t="n">
        <f aca="false">E8-L8</f>
        <v>689</v>
      </c>
      <c r="S8" s="9" t="n">
        <f aca="false">Q8-R8</f>
        <v>45.6000000000003</v>
      </c>
    </row>
    <row r="9" customFormat="false" ht="15" hidden="false" customHeight="true" outlineLevel="0" collapsed="false">
      <c r="A9" s="4" t="s">
        <v>102</v>
      </c>
      <c r="B9" s="4" t="s">
        <v>103</v>
      </c>
      <c r="C9" s="4" t="s">
        <v>85</v>
      </c>
      <c r="D9" s="4" t="s">
        <v>101</v>
      </c>
      <c r="E9" s="8" t="n">
        <f aca="false">'Weekly Raw Data'!F8+'Weekly Raw Data'!L8+'Weekly Raw Data'!R8+'Weekly Raw Data'!X8+'Weekly Raw Data'!AD8+'Weekly Raw Data'!AJ8+'Weekly Raw Data'!AP8+'Weekly Raw Data'!AV8+'Weekly Raw Data'!BB8+'Weekly Raw Data'!BH8+'Weekly Raw Data'!BN8+'Weekly Raw Data'!BT8+'Weekly Raw Data'!BZ8</f>
        <v>1275.3</v>
      </c>
      <c r="F9" s="8" t="n">
        <f aca="false">'Weekly Raw Data'!G8+'Weekly Raw Data'!M8+'Weekly Raw Data'!S8+'Weekly Raw Data'!Y8+'Weekly Raw Data'!AE8+'Weekly Raw Data'!AK8+'Weekly Raw Data'!AQ8+'Weekly Raw Data'!AW8+'Weekly Raw Data'!BC8+'Weekly Raw Data'!BI8+'Weekly Raw Data'!BO8+'Weekly Raw Data'!BU8+'Weekly Raw Data'!CA8</f>
        <v>1395.9</v>
      </c>
      <c r="G9" s="8" t="n">
        <f aca="false">'Weekly Raw Data'!H8+'Weekly Raw Data'!N8+'Weekly Raw Data'!T8+'Weekly Raw Data'!Z8+'Weekly Raw Data'!AF8+'Weekly Raw Data'!AL8+'Weekly Raw Data'!AR8+'Weekly Raw Data'!AX8+'Weekly Raw Data'!BD8+'Weekly Raw Data'!BJ8+'Weekly Raw Data'!BP8+'Weekly Raw Data'!BV8+'Weekly Raw Data'!CB8</f>
        <v>1401.2</v>
      </c>
      <c r="H9" s="9" t="n">
        <f aca="false">F9-E9</f>
        <v>120.6</v>
      </c>
      <c r="I9" s="10" t="n">
        <f aca="false">IF(E9&lt;&gt;0,(F9-E9)/E9,0)</f>
        <v>0.0945659844742415</v>
      </c>
      <c r="J9" s="9" t="n">
        <f aca="false">G9-E9</f>
        <v>125.9</v>
      </c>
      <c r="K9" s="10" t="n">
        <f aca="false">IF(E9&lt;&gt;0,(G9-E9)/E9,0)</f>
        <v>0.0987218693640709</v>
      </c>
      <c r="L9" s="8" t="n">
        <f aca="false">'Weekly Raw Data'!I8+'Weekly Raw Data'!O8+'Weekly Raw Data'!U8+'Weekly Raw Data'!AA8+'Weekly Raw Data'!AG8+'Weekly Raw Data'!AM8+'Weekly Raw Data'!AS8+'Weekly Raw Data'!AY8+'Weekly Raw Data'!BE8+'Weekly Raw Data'!BK8+'Weekly Raw Data'!BQ8+'Weekly Raw Data'!BW8+'Weekly Raw Data'!CC8</f>
        <v>267.8</v>
      </c>
      <c r="M9" s="8" t="n">
        <f aca="false">'Weekly Raw Data'!J8+'Weekly Raw Data'!P8+'Weekly Raw Data'!V8+'Weekly Raw Data'!AB8+'Weekly Raw Data'!AH8+'Weekly Raw Data'!AN8+'Weekly Raw Data'!AT8+'Weekly Raw Data'!AZ8+'Weekly Raw Data'!BF8+'Weekly Raw Data'!BL8+'Weekly Raw Data'!BR8+'Weekly Raw Data'!BX8+'Weekly Raw Data'!CD8</f>
        <v>303</v>
      </c>
      <c r="N9" s="8" t="n">
        <f aca="false">'Weekly Raw Data'!K8+'Weekly Raw Data'!Q8+'Weekly Raw Data'!W8+'Weekly Raw Data'!AC8+'Weekly Raw Data'!AI8+'Weekly Raw Data'!AO8+'Weekly Raw Data'!AU8+'Weekly Raw Data'!BA8+'Weekly Raw Data'!BG8+'Weekly Raw Data'!BM8+'Weekly Raw Data'!BS8+'Weekly Raw Data'!BY8+'Weekly Raw Data'!CE8</f>
        <v>295.6</v>
      </c>
      <c r="O9" s="9" t="n">
        <f aca="false">M9-L9</f>
        <v>35.2</v>
      </c>
      <c r="P9" s="10" t="n">
        <f aca="false">IF(L9&lt;&gt;0,(M9-L9)/L9,0)</f>
        <v>0.131441374159821</v>
      </c>
      <c r="Q9" s="8" t="n">
        <f aca="false">F9-M9</f>
        <v>1092.9</v>
      </c>
      <c r="R9" s="8" t="n">
        <f aca="false">E9-L9</f>
        <v>1007.5</v>
      </c>
      <c r="S9" s="9" t="n">
        <f aca="false">Q9-R9</f>
        <v>85.4000000000001</v>
      </c>
    </row>
    <row r="10" customFormat="false" ht="15" hidden="false" customHeight="true" outlineLevel="0" collapsed="false">
      <c r="A10" s="4" t="s">
        <v>105</v>
      </c>
      <c r="B10" s="4" t="s">
        <v>103</v>
      </c>
      <c r="C10" s="4" t="s">
        <v>106</v>
      </c>
      <c r="D10" s="4" t="s">
        <v>87</v>
      </c>
      <c r="E10" s="8" t="n">
        <f aca="false">'Weekly Raw Data'!F9+'Weekly Raw Data'!L9+'Weekly Raw Data'!R9+'Weekly Raw Data'!X9+'Weekly Raw Data'!AD9+'Weekly Raw Data'!AJ9+'Weekly Raw Data'!AP9+'Weekly Raw Data'!AV9+'Weekly Raw Data'!BB9+'Weekly Raw Data'!BH9+'Weekly Raw Data'!BN9+'Weekly Raw Data'!BT9+'Weekly Raw Data'!BZ9</f>
        <v>300.3</v>
      </c>
      <c r="F10" s="8" t="n">
        <f aca="false">'Weekly Raw Data'!G9+'Weekly Raw Data'!M9+'Weekly Raw Data'!S9+'Weekly Raw Data'!Y9+'Weekly Raw Data'!AE9+'Weekly Raw Data'!AK9+'Weekly Raw Data'!AQ9+'Weekly Raw Data'!AW9+'Weekly Raw Data'!BC9+'Weekly Raw Data'!BI9+'Weekly Raw Data'!BO9+'Weekly Raw Data'!BU9+'Weekly Raw Data'!CA9</f>
        <v>318.7</v>
      </c>
      <c r="G10" s="8" t="n">
        <f aca="false">'Weekly Raw Data'!H9+'Weekly Raw Data'!N9+'Weekly Raw Data'!T9+'Weekly Raw Data'!Z9+'Weekly Raw Data'!AF9+'Weekly Raw Data'!AL9+'Weekly Raw Data'!AR9+'Weekly Raw Data'!AX9+'Weekly Raw Data'!BD9+'Weekly Raw Data'!BJ9+'Weekly Raw Data'!BP9+'Weekly Raw Data'!BV9+'Weekly Raw Data'!CB9</f>
        <v>319</v>
      </c>
      <c r="H10" s="9" t="n">
        <f aca="false">F10-E10</f>
        <v>18.4</v>
      </c>
      <c r="I10" s="10" t="n">
        <f aca="false">IF(E10&lt;&gt;0,(F10-E10)/E10,0)</f>
        <v>0.0612720612720614</v>
      </c>
      <c r="J10" s="9" t="n">
        <f aca="false">G10-E10</f>
        <v>18.6999999999999</v>
      </c>
      <c r="K10" s="10" t="n">
        <f aca="false">IF(E10&lt;&gt;0,(G10-E10)/E10,0)</f>
        <v>0.062271062271062</v>
      </c>
      <c r="L10" s="8" t="n">
        <f aca="false">'Weekly Raw Data'!I9+'Weekly Raw Data'!O9+'Weekly Raw Data'!U9+'Weekly Raw Data'!AA9+'Weekly Raw Data'!AG9+'Weekly Raw Data'!AM9+'Weekly Raw Data'!AS9+'Weekly Raw Data'!AY9+'Weekly Raw Data'!BE9+'Weekly Raw Data'!BK9+'Weekly Raw Data'!BQ9+'Weekly Raw Data'!BW9+'Weekly Raw Data'!CC9</f>
        <v>45.5</v>
      </c>
      <c r="M10" s="8" t="n">
        <f aca="false">'Weekly Raw Data'!J9+'Weekly Raw Data'!P9+'Weekly Raw Data'!V9+'Weekly Raw Data'!AB9+'Weekly Raw Data'!AH9+'Weekly Raw Data'!AN9+'Weekly Raw Data'!AT9+'Weekly Raw Data'!AZ9+'Weekly Raw Data'!BF9+'Weekly Raw Data'!BL9+'Weekly Raw Data'!BR9+'Weekly Raw Data'!BX9+'Weekly Raw Data'!CD9</f>
        <v>47.1</v>
      </c>
      <c r="N10" s="8" t="n">
        <f aca="false">'Weekly Raw Data'!K9+'Weekly Raw Data'!Q9+'Weekly Raw Data'!W9+'Weekly Raw Data'!AC9+'Weekly Raw Data'!AI9+'Weekly Raw Data'!AO9+'Weekly Raw Data'!AU9+'Weekly Raw Data'!BA9+'Weekly Raw Data'!BG9+'Weekly Raw Data'!BM9+'Weekly Raw Data'!BS9+'Weekly Raw Data'!BY9+'Weekly Raw Data'!CE9</f>
        <v>47.7</v>
      </c>
      <c r="O10" s="9" t="n">
        <f aca="false">M10-L10</f>
        <v>1.59999999999999</v>
      </c>
      <c r="P10" s="10" t="n">
        <f aca="false">IF(L10&lt;&gt;0,(M10-L10)/L10,0)</f>
        <v>0.0351648351648349</v>
      </c>
      <c r="Q10" s="8" t="n">
        <f aca="false">F10-M10</f>
        <v>271.6</v>
      </c>
      <c r="R10" s="8" t="n">
        <f aca="false">E10-L10</f>
        <v>254.8</v>
      </c>
      <c r="S10" s="9" t="n">
        <f aca="false">Q10-R10</f>
        <v>16.8000000000001</v>
      </c>
    </row>
    <row r="11" customFormat="false" ht="15" hidden="false" customHeight="true" outlineLevel="0" collapsed="false">
      <c r="A11" s="4" t="s">
        <v>108</v>
      </c>
      <c r="B11" s="4" t="s">
        <v>103</v>
      </c>
      <c r="C11" s="4" t="s">
        <v>106</v>
      </c>
      <c r="D11" s="4" t="s">
        <v>101</v>
      </c>
      <c r="E11" s="8" t="n">
        <f aca="false">'Weekly Raw Data'!F10+'Weekly Raw Data'!L10+'Weekly Raw Data'!R10+'Weekly Raw Data'!X10+'Weekly Raw Data'!AD10+'Weekly Raw Data'!AJ10+'Weekly Raw Data'!AP10+'Weekly Raw Data'!AV10+'Weekly Raw Data'!BB10+'Weekly Raw Data'!BH10+'Weekly Raw Data'!BN10+'Weekly Raw Data'!BT10+'Weekly Raw Data'!BZ10</f>
        <v>449.8</v>
      </c>
      <c r="F11" s="8" t="n">
        <f aca="false">'Weekly Raw Data'!G10+'Weekly Raw Data'!M10+'Weekly Raw Data'!S10+'Weekly Raw Data'!Y10+'Weekly Raw Data'!AE10+'Weekly Raw Data'!AK10+'Weekly Raw Data'!AQ10+'Weekly Raw Data'!AW10+'Weekly Raw Data'!BC10+'Weekly Raw Data'!BI10+'Weekly Raw Data'!BO10+'Weekly Raw Data'!BU10+'Weekly Raw Data'!CA10</f>
        <v>487.1</v>
      </c>
      <c r="G11" s="8" t="n">
        <f aca="false">'Weekly Raw Data'!H10+'Weekly Raw Data'!N10+'Weekly Raw Data'!T10+'Weekly Raw Data'!Z10+'Weekly Raw Data'!AF10+'Weekly Raw Data'!AL10+'Weekly Raw Data'!AR10+'Weekly Raw Data'!AX10+'Weekly Raw Data'!BD10+'Weekly Raw Data'!BJ10+'Weekly Raw Data'!BP10+'Weekly Raw Data'!BV10+'Weekly Raw Data'!CB10</f>
        <v>491.7</v>
      </c>
      <c r="H11" s="9" t="n">
        <f aca="false">F11-E11</f>
        <v>37.2999999999999</v>
      </c>
      <c r="I11" s="10" t="n">
        <f aca="false">IF(E11&lt;&gt;0,(F11-E11)/E11,0)</f>
        <v>0.0829257447754555</v>
      </c>
      <c r="J11" s="9" t="n">
        <f aca="false">G11-E11</f>
        <v>41.8999999999999</v>
      </c>
      <c r="K11" s="10" t="n">
        <f aca="false">IF(E11&lt;&gt;0,(G11-E11)/E11,0)</f>
        <v>0.0931525122276565</v>
      </c>
      <c r="L11" s="8" t="n">
        <f aca="false">'Weekly Raw Data'!I10+'Weekly Raw Data'!O10+'Weekly Raw Data'!U10+'Weekly Raw Data'!AA10+'Weekly Raw Data'!AG10+'Weekly Raw Data'!AM10+'Weekly Raw Data'!AS10+'Weekly Raw Data'!AY10+'Weekly Raw Data'!BE10+'Weekly Raw Data'!BK10+'Weekly Raw Data'!BQ10+'Weekly Raw Data'!BW10+'Weekly Raw Data'!CC10</f>
        <v>71.5</v>
      </c>
      <c r="M11" s="8" t="n">
        <f aca="false">'Weekly Raw Data'!J10+'Weekly Raw Data'!P10+'Weekly Raw Data'!V10+'Weekly Raw Data'!AB10+'Weekly Raw Data'!AH10+'Weekly Raw Data'!AN10+'Weekly Raw Data'!AT10+'Weekly Raw Data'!AZ10+'Weekly Raw Data'!BF10+'Weekly Raw Data'!BL10+'Weekly Raw Data'!BR10+'Weekly Raw Data'!BX10+'Weekly Raw Data'!CD10</f>
        <v>78.5</v>
      </c>
      <c r="N11" s="8" t="n">
        <f aca="false">'Weekly Raw Data'!K10+'Weekly Raw Data'!Q10+'Weekly Raw Data'!W10+'Weekly Raw Data'!AC10+'Weekly Raw Data'!AI10+'Weekly Raw Data'!AO10+'Weekly Raw Data'!AU10+'Weekly Raw Data'!BA10+'Weekly Raw Data'!BG10+'Weekly Raw Data'!BM10+'Weekly Raw Data'!BS10+'Weekly Raw Data'!BY10+'Weekly Raw Data'!CE10</f>
        <v>78.5</v>
      </c>
      <c r="O11" s="9" t="n">
        <f aca="false">M11-L11</f>
        <v>7</v>
      </c>
      <c r="P11" s="10" t="n">
        <f aca="false">IF(L11&lt;&gt;0,(M11-L11)/L11,0)</f>
        <v>0.0979020979020979</v>
      </c>
      <c r="Q11" s="8" t="n">
        <f aca="false">F11-M11</f>
        <v>408.6</v>
      </c>
      <c r="R11" s="8" t="n">
        <f aca="false">E11-L11</f>
        <v>378.3</v>
      </c>
      <c r="S11" s="9" t="n">
        <f aca="false">Q11-R11</f>
        <v>30.2999999999999</v>
      </c>
    </row>
    <row r="12" customFormat="false" ht="15" hidden="false" customHeight="true" outlineLevel="0" collapsed="false">
      <c r="A12" s="4" t="s">
        <v>110</v>
      </c>
      <c r="B12" s="4" t="s">
        <v>84</v>
      </c>
      <c r="C12" s="4" t="s">
        <v>85</v>
      </c>
      <c r="D12" s="4" t="s">
        <v>112</v>
      </c>
      <c r="E12" s="8" t="n">
        <f aca="false">'Weekly Raw Data'!F11+'Weekly Raw Data'!L11+'Weekly Raw Data'!R11+'Weekly Raw Data'!X11+'Weekly Raw Data'!AD11+'Weekly Raw Data'!AJ11+'Weekly Raw Data'!AP11+'Weekly Raw Data'!AV11+'Weekly Raw Data'!BB11+'Weekly Raw Data'!BH11+'Weekly Raw Data'!BN11+'Weekly Raw Data'!BT11+'Weekly Raw Data'!BZ11</f>
        <v>1625</v>
      </c>
      <c r="F12" s="8" t="n">
        <f aca="false">'Weekly Raw Data'!G11+'Weekly Raw Data'!M11+'Weekly Raw Data'!S11+'Weekly Raw Data'!Y11+'Weekly Raw Data'!AE11+'Weekly Raw Data'!AK11+'Weekly Raw Data'!AQ11+'Weekly Raw Data'!AW11+'Weekly Raw Data'!BC11+'Weekly Raw Data'!BI11+'Weekly Raw Data'!BO11+'Weekly Raw Data'!BU11+'Weekly Raw Data'!CA11</f>
        <v>1743.4</v>
      </c>
      <c r="G12" s="8" t="n">
        <f aca="false">'Weekly Raw Data'!H11+'Weekly Raw Data'!N11+'Weekly Raw Data'!T11+'Weekly Raw Data'!Z11+'Weekly Raw Data'!AF11+'Weekly Raw Data'!AL11+'Weekly Raw Data'!AR11+'Weekly Raw Data'!AX11+'Weekly Raw Data'!BD11+'Weekly Raw Data'!BJ11+'Weekly Raw Data'!BP11+'Weekly Raw Data'!BV11+'Weekly Raw Data'!CB11</f>
        <v>1732.4</v>
      </c>
      <c r="H12" s="9" t="n">
        <f aca="false">F12-E12</f>
        <v>118.4</v>
      </c>
      <c r="I12" s="10" t="n">
        <f aca="false">IF(E12&lt;&gt;0,(F12-E12)/E12,0)</f>
        <v>0.0728615384615385</v>
      </c>
      <c r="J12" s="9" t="n">
        <f aca="false">G12-E12</f>
        <v>107.4</v>
      </c>
      <c r="K12" s="10" t="n">
        <f aca="false">IF(E12&lt;&gt;0,(G12-E12)/E12,0)</f>
        <v>0.0660923076923076</v>
      </c>
      <c r="L12" s="8" t="n">
        <f aca="false">'Weekly Raw Data'!I11+'Weekly Raw Data'!O11+'Weekly Raw Data'!U11+'Weekly Raw Data'!AA11+'Weekly Raw Data'!AG11+'Weekly Raw Data'!AM11+'Weekly Raw Data'!AS11+'Weekly Raw Data'!AY11+'Weekly Raw Data'!BE11+'Weekly Raw Data'!BK11+'Weekly Raw Data'!BQ11+'Weekly Raw Data'!BW11+'Weekly Raw Data'!CC11</f>
        <v>374.4</v>
      </c>
      <c r="M12" s="8" t="n">
        <f aca="false">'Weekly Raw Data'!J11+'Weekly Raw Data'!P11+'Weekly Raw Data'!V11+'Weekly Raw Data'!AB11+'Weekly Raw Data'!AH11+'Weekly Raw Data'!AN11+'Weekly Raw Data'!AT11+'Weekly Raw Data'!AZ11+'Weekly Raw Data'!BF11+'Weekly Raw Data'!BL11+'Weekly Raw Data'!BR11+'Weekly Raw Data'!BX11+'Weekly Raw Data'!CD11</f>
        <v>394.5</v>
      </c>
      <c r="N12" s="8" t="n">
        <f aca="false">'Weekly Raw Data'!K11+'Weekly Raw Data'!Q11+'Weekly Raw Data'!W11+'Weekly Raw Data'!AC11+'Weekly Raw Data'!AI11+'Weekly Raw Data'!AO11+'Weekly Raw Data'!AU11+'Weekly Raw Data'!BA11+'Weekly Raw Data'!BG11+'Weekly Raw Data'!BM11+'Weekly Raw Data'!BS11+'Weekly Raw Data'!BY11+'Weekly Raw Data'!CE11</f>
        <v>401.4</v>
      </c>
      <c r="O12" s="9" t="n">
        <f aca="false">M12-L12</f>
        <v>20.0999999999999</v>
      </c>
      <c r="P12" s="10" t="n">
        <f aca="false">IF(L12&lt;&gt;0,(M12-L12)/L12,0)</f>
        <v>0.053685897435897</v>
      </c>
      <c r="Q12" s="8" t="n">
        <f aca="false">F12-M12</f>
        <v>1348.9</v>
      </c>
      <c r="R12" s="8" t="n">
        <f aca="false">E12-L12</f>
        <v>1250.6</v>
      </c>
      <c r="S12" s="9" t="n">
        <f aca="false">Q12-R12</f>
        <v>98.3000000000002</v>
      </c>
    </row>
    <row r="13" customFormat="false" ht="15" hidden="false" customHeight="true" outlineLevel="0" collapsed="false">
      <c r="A13" s="11" t="s">
        <v>129</v>
      </c>
      <c r="B13" s="12"/>
      <c r="C13" s="12"/>
      <c r="E13" s="13" t="n">
        <f aca="false">SUM(E3:E12)</f>
        <v>9400.3</v>
      </c>
      <c r="F13" s="13" t="n">
        <f aca="false">SUM(F3:F12)</f>
        <v>10173.5</v>
      </c>
      <c r="G13" s="13" t="n">
        <f aca="false">SUM(G3:G12)</f>
        <v>10201.4</v>
      </c>
      <c r="H13" s="14" t="n">
        <f aca="false">SUM(H3:H12)</f>
        <v>773.2</v>
      </c>
      <c r="I13" s="15" t="n">
        <f aca="false">IF(SUM(E3:E12)&lt;&gt;0,(SUM(F3:F12)-SUM(E3:E12))/SUM(E3:E12),0)</f>
        <v>0.0822526940629555</v>
      </c>
      <c r="J13" s="14" t="n">
        <f aca="false">SUM(J3:J12)</f>
        <v>801.1</v>
      </c>
      <c r="K13" s="15" t="n">
        <f aca="false">IF(SUM(G3:G12)&lt;&gt;0,(SUM(G3:G12)-SUM(G3:G12))/SUM(G3:G12),0)</f>
        <v>0</v>
      </c>
      <c r="L13" s="13" t="n">
        <f aca="false">SUM(L3:L12)</f>
        <v>1898</v>
      </c>
      <c r="M13" s="13" t="n">
        <f aca="false">SUM(M3:M12)</f>
        <v>2068.2</v>
      </c>
      <c r="N13" s="13" t="n">
        <f aca="false">SUM(N3:N12)</f>
        <v>2063.2</v>
      </c>
      <c r="O13" s="14" t="n">
        <f aca="false">SUM(O3:O12)</f>
        <v>170.2</v>
      </c>
      <c r="P13" s="15" t="n">
        <f aca="false">IF(SUM(L3:L12)&lt;&gt;0,(SUM(M3:M12)-SUM(L3:L12))/SUM(L3:L12),0)</f>
        <v>0.0896733403582718</v>
      </c>
      <c r="Q13" s="13" t="n">
        <f aca="false">SUM(Q3:Q12)</f>
        <v>8105.3</v>
      </c>
      <c r="R13" s="13" t="n">
        <f aca="false">SUM(R3:R12)</f>
        <v>7502.3</v>
      </c>
      <c r="S13" s="14" t="n">
        <f aca="false">SUM(S3:S12)</f>
        <v>603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14" min="2" style="1" width="13"/>
  </cols>
  <sheetData>
    <row r="1" customFormat="false" ht="24" hidden="false" customHeight="true" outlineLevel="0" collapsed="false">
      <c r="A1" s="16" t="s">
        <v>130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" hidden="false" customHeight="true" outlineLevel="0" collapsed="false">
      <c r="A2" s="2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  <c r="N2" s="3" t="s">
        <v>144</v>
      </c>
    </row>
    <row r="3" customFormat="false" ht="15" hidden="false" customHeight="true" outlineLevel="0" collapsed="false">
      <c r="A3" s="17" t="s">
        <v>145</v>
      </c>
      <c r="B3" s="18" t="n">
        <v>84.5</v>
      </c>
      <c r="C3" s="18" t="n">
        <v>114.6</v>
      </c>
      <c r="D3" s="18" t="n">
        <v>84.2</v>
      </c>
      <c r="E3" s="18" t="n">
        <v>81.2</v>
      </c>
      <c r="F3" s="19" t="n">
        <v>80.3</v>
      </c>
      <c r="G3" s="18" t="n">
        <v>113.3</v>
      </c>
      <c r="H3" s="19" t="n">
        <v>74.4</v>
      </c>
      <c r="I3" s="18" t="n">
        <v>81.6</v>
      </c>
      <c r="J3" s="19" t="n">
        <v>80.2</v>
      </c>
      <c r="K3" s="18" t="n">
        <v>114.4</v>
      </c>
      <c r="L3" s="19" t="n">
        <v>79</v>
      </c>
      <c r="M3" s="19" t="n">
        <v>77.8</v>
      </c>
      <c r="N3" s="19" t="n">
        <v>77.6</v>
      </c>
    </row>
    <row r="4" customFormat="false" ht="15" hidden="false" customHeight="true" outlineLevel="0" collapsed="false">
      <c r="A4" s="17" t="s">
        <v>146</v>
      </c>
      <c r="B4" s="18" t="n">
        <v>154.3</v>
      </c>
      <c r="C4" s="18" t="n">
        <v>158.9</v>
      </c>
      <c r="D4" s="18" t="n">
        <v>192.8</v>
      </c>
      <c r="E4" s="18" t="n">
        <v>160.8</v>
      </c>
      <c r="F4" s="18" t="n">
        <v>151.6</v>
      </c>
      <c r="G4" s="18" t="n">
        <v>151.6</v>
      </c>
      <c r="H4" s="18" t="n">
        <v>202.8</v>
      </c>
      <c r="I4" s="18" t="n">
        <v>164.3</v>
      </c>
      <c r="J4" s="19" t="n">
        <v>149.1</v>
      </c>
      <c r="K4" s="19" t="n">
        <v>141.9</v>
      </c>
      <c r="L4" s="18" t="n">
        <v>191.5</v>
      </c>
      <c r="M4" s="19" t="n">
        <v>144.6</v>
      </c>
      <c r="N4" s="18" t="n">
        <v>153.6</v>
      </c>
    </row>
    <row r="5" customFormat="false" ht="15" hidden="false" customHeight="true" outlineLevel="0" collapsed="false">
      <c r="A5" s="17" t="s">
        <v>147</v>
      </c>
      <c r="B5" s="18" t="n">
        <v>80.4</v>
      </c>
      <c r="C5" s="19" t="n">
        <v>54.2</v>
      </c>
      <c r="D5" s="18" t="n">
        <v>60.6</v>
      </c>
      <c r="E5" s="19" t="n">
        <v>58.5</v>
      </c>
      <c r="F5" s="18" t="n">
        <v>78.8</v>
      </c>
      <c r="G5" s="18" t="n">
        <v>59.6</v>
      </c>
      <c r="H5" s="19" t="n">
        <v>54.4</v>
      </c>
      <c r="I5" s="19" t="n">
        <v>56.9</v>
      </c>
      <c r="J5" s="18" t="n">
        <v>76</v>
      </c>
      <c r="K5" s="18" t="n">
        <v>64.5</v>
      </c>
      <c r="L5" s="19" t="n">
        <v>53.6</v>
      </c>
      <c r="M5" s="18" t="n">
        <v>60.9</v>
      </c>
      <c r="N5" s="18" t="n">
        <v>73.3</v>
      </c>
    </row>
    <row r="6" customFormat="false" ht="15" hidden="false" customHeight="true" outlineLevel="0" collapsed="false">
      <c r="A6" s="17" t="s">
        <v>148</v>
      </c>
      <c r="B6" s="18" t="n">
        <v>52.3</v>
      </c>
      <c r="C6" s="18" t="n">
        <v>52.1</v>
      </c>
      <c r="D6" s="19" t="n">
        <v>48.8</v>
      </c>
      <c r="E6" s="18" t="n">
        <v>64.3</v>
      </c>
      <c r="F6" s="18" t="n">
        <v>52.9</v>
      </c>
      <c r="G6" s="18" t="n">
        <v>51.8</v>
      </c>
      <c r="H6" s="18" t="n">
        <v>52</v>
      </c>
      <c r="I6" s="18" t="n">
        <v>70.7</v>
      </c>
      <c r="J6" s="18" t="n">
        <v>51.3</v>
      </c>
      <c r="K6" s="18" t="n">
        <v>52.6</v>
      </c>
      <c r="L6" s="19" t="n">
        <v>46.5</v>
      </c>
      <c r="M6" s="19" t="n">
        <v>46.7</v>
      </c>
      <c r="N6" s="19" t="n">
        <v>47.8</v>
      </c>
    </row>
    <row r="7" customFormat="false" ht="15" hidden="false" customHeight="true" outlineLevel="0" collapsed="false">
      <c r="A7" s="17" t="s">
        <v>149</v>
      </c>
      <c r="B7" s="18" t="n">
        <v>39.1</v>
      </c>
      <c r="C7" s="18" t="n">
        <v>51.1</v>
      </c>
      <c r="D7" s="18" t="n">
        <v>38.9</v>
      </c>
      <c r="E7" s="19" t="n">
        <v>33.6</v>
      </c>
      <c r="F7" s="19" t="n">
        <v>36.3</v>
      </c>
      <c r="G7" s="18" t="n">
        <v>47.3</v>
      </c>
      <c r="H7" s="19" t="n">
        <v>34.4</v>
      </c>
      <c r="I7" s="19" t="n">
        <v>36</v>
      </c>
      <c r="J7" s="19" t="n">
        <v>33.2</v>
      </c>
      <c r="K7" s="18" t="n">
        <v>51.9</v>
      </c>
      <c r="L7" s="19" t="n">
        <v>36</v>
      </c>
      <c r="M7" s="18" t="n">
        <v>40</v>
      </c>
      <c r="N7" s="18" t="n">
        <v>38.8</v>
      </c>
    </row>
    <row r="8" customFormat="false" ht="15" hidden="false" customHeight="true" outlineLevel="0" collapsed="false">
      <c r="A8" s="17" t="s">
        <v>150</v>
      </c>
      <c r="B8" s="18" t="n">
        <v>69.9</v>
      </c>
      <c r="C8" s="18" t="n">
        <v>67.8</v>
      </c>
      <c r="D8" s="18" t="n">
        <v>85.9</v>
      </c>
      <c r="E8" s="18" t="n">
        <v>70.4</v>
      </c>
      <c r="F8" s="19" t="n">
        <v>62.8</v>
      </c>
      <c r="G8" s="18" t="n">
        <v>71.1</v>
      </c>
      <c r="H8" s="18" t="n">
        <v>66.8</v>
      </c>
      <c r="I8" s="18" t="n">
        <v>70.6</v>
      </c>
      <c r="J8" s="19" t="n">
        <v>64.6</v>
      </c>
      <c r="K8" s="19" t="n">
        <v>64.1</v>
      </c>
      <c r="L8" s="18" t="n">
        <v>88</v>
      </c>
      <c r="M8" s="18" t="n">
        <v>68.6</v>
      </c>
      <c r="N8" s="19" t="n">
        <v>64.3</v>
      </c>
    </row>
    <row r="9" customFormat="false" ht="15" hidden="false" customHeight="true" outlineLevel="0" collapsed="false">
      <c r="A9" s="17" t="s">
        <v>151</v>
      </c>
      <c r="B9" s="18" t="n">
        <v>146.2</v>
      </c>
      <c r="C9" s="19" t="n">
        <v>95.6</v>
      </c>
      <c r="D9" s="19" t="n">
        <v>94.5</v>
      </c>
      <c r="E9" s="18" t="n">
        <v>101.1</v>
      </c>
      <c r="F9" s="18" t="n">
        <v>100.6</v>
      </c>
      <c r="G9" s="19" t="n">
        <v>93</v>
      </c>
      <c r="H9" s="18" t="n">
        <v>131.8</v>
      </c>
      <c r="I9" s="18" t="n">
        <v>107.8</v>
      </c>
      <c r="J9" s="19" t="n">
        <v>91.5</v>
      </c>
      <c r="K9" s="19" t="n">
        <v>94.2</v>
      </c>
      <c r="L9" s="19" t="n">
        <v>90.4</v>
      </c>
      <c r="M9" s="18" t="n">
        <v>102.3</v>
      </c>
      <c r="N9" s="18" t="n">
        <v>124.8</v>
      </c>
    </row>
    <row r="10" customFormat="false" ht="15" hidden="false" customHeight="true" outlineLevel="0" collapsed="false">
      <c r="A10" s="17" t="s">
        <v>152</v>
      </c>
      <c r="B10" s="19" t="n">
        <v>22.4</v>
      </c>
      <c r="C10" s="19" t="n">
        <v>21.4</v>
      </c>
      <c r="D10" s="18" t="n">
        <v>23.1</v>
      </c>
      <c r="E10" s="18" t="n">
        <v>23.1</v>
      </c>
      <c r="F10" s="18" t="n">
        <v>31.5</v>
      </c>
      <c r="G10" s="19" t="n">
        <v>22.8</v>
      </c>
      <c r="H10" s="19" t="n">
        <v>21.6</v>
      </c>
      <c r="I10" s="18" t="n">
        <v>24.2</v>
      </c>
      <c r="J10" s="18" t="n">
        <v>29.5</v>
      </c>
      <c r="K10" s="19" t="n">
        <v>22.4</v>
      </c>
      <c r="L10" s="18" t="n">
        <v>24.2</v>
      </c>
      <c r="M10" s="19" t="n">
        <v>22.7</v>
      </c>
      <c r="N10" s="19" t="n">
        <v>22.2</v>
      </c>
    </row>
    <row r="11" customFormat="false" ht="15" hidden="false" customHeight="true" outlineLevel="0" collapsed="false">
      <c r="A11" s="17" t="s">
        <v>153</v>
      </c>
      <c r="B11" s="19" t="n">
        <v>34.5</v>
      </c>
      <c r="C11" s="18" t="n">
        <v>34.6</v>
      </c>
      <c r="D11" s="19" t="n">
        <v>32.4</v>
      </c>
      <c r="E11" s="18" t="n">
        <v>49.6</v>
      </c>
      <c r="F11" s="18" t="n">
        <v>35.8</v>
      </c>
      <c r="G11" s="18" t="n">
        <v>35</v>
      </c>
      <c r="H11" s="18" t="n">
        <v>34.6</v>
      </c>
      <c r="I11" s="18" t="n">
        <v>45.9</v>
      </c>
      <c r="J11" s="19" t="n">
        <v>32.9</v>
      </c>
      <c r="K11" s="18" t="n">
        <v>37</v>
      </c>
      <c r="L11" s="19" t="n">
        <v>32.8</v>
      </c>
      <c r="M11" s="18" t="n">
        <v>49.9</v>
      </c>
      <c r="N11" s="18" t="n">
        <v>35.2</v>
      </c>
    </row>
    <row r="12" customFormat="false" ht="15" hidden="false" customHeight="true" outlineLevel="0" collapsed="false">
      <c r="A12" s="17" t="s">
        <v>154</v>
      </c>
      <c r="B12" s="19" t="n">
        <v>121.9</v>
      </c>
      <c r="C12" s="18" t="n">
        <v>179.9</v>
      </c>
      <c r="D12" s="18" t="n">
        <v>127.4</v>
      </c>
      <c r="E12" s="19" t="n">
        <v>117.4</v>
      </c>
      <c r="F12" s="19" t="n">
        <v>123.8</v>
      </c>
      <c r="G12" s="18" t="n">
        <v>173.9</v>
      </c>
      <c r="H12" s="19" t="n">
        <v>122.1</v>
      </c>
      <c r="I12" s="18" t="n">
        <v>133.2</v>
      </c>
      <c r="J12" s="18" t="n">
        <v>130.9</v>
      </c>
      <c r="K12" s="18" t="n">
        <v>175.4</v>
      </c>
      <c r="L12" s="18" t="n">
        <v>135.5</v>
      </c>
      <c r="M12" s="19" t="n">
        <v>115.5</v>
      </c>
      <c r="N12" s="19" t="n">
        <v>116.5</v>
      </c>
    </row>
    <row r="14" customFormat="false" ht="15" hidden="false" customHeight="true" outlineLevel="0" collapsed="false">
      <c r="A14" s="20" t="s">
        <v>155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28"/>
  </cols>
  <sheetData>
    <row r="1" customFormat="false" ht="21.75" hidden="false" customHeight="true" outlineLevel="0" collapsed="false">
      <c r="A1" s="21" t="s">
        <v>156</v>
      </c>
      <c r="B1" s="21"/>
      <c r="C1" s="21"/>
    </row>
    <row r="2" customFormat="false" ht="15" hidden="false" customHeight="true" outlineLevel="0" collapsed="false">
      <c r="A2" s="2" t="s">
        <v>157</v>
      </c>
      <c r="B2" s="2" t="s">
        <v>158</v>
      </c>
      <c r="C2" s="2" t="s">
        <v>159</v>
      </c>
    </row>
    <row r="3" customFormat="false" ht="15" hidden="false" customHeight="true" outlineLevel="0" collapsed="false">
      <c r="A3" s="17" t="s">
        <v>160</v>
      </c>
      <c r="B3" s="4" t="s">
        <v>161</v>
      </c>
      <c r="C3" s="4" t="s">
        <v>162</v>
      </c>
    </row>
    <row r="4" customFormat="false" ht="15" hidden="false" customHeight="true" outlineLevel="0" collapsed="false">
      <c r="A4" s="22" t="s">
        <v>163</v>
      </c>
      <c r="B4" s="23" t="s">
        <v>164</v>
      </c>
      <c r="C4" s="23" t="s">
        <v>165</v>
      </c>
    </row>
    <row r="5" customFormat="false" ht="15" hidden="false" customHeight="true" outlineLevel="0" collapsed="false">
      <c r="A5" s="17" t="s">
        <v>166</v>
      </c>
      <c r="B5" s="4" t="s">
        <v>167</v>
      </c>
      <c r="C5" s="4" t="s">
        <v>168</v>
      </c>
    </row>
    <row r="6" customFormat="false" ht="15" hidden="false" customHeight="true" outlineLevel="0" collapsed="false">
      <c r="A6" s="22" t="s">
        <v>169</v>
      </c>
      <c r="B6" s="23" t="s">
        <v>170</v>
      </c>
      <c r="C6" s="23" t="s">
        <v>171</v>
      </c>
    </row>
    <row r="7" customFormat="false" ht="15" hidden="false" customHeight="true" outlineLevel="0" collapsed="false">
      <c r="A7" s="17" t="s">
        <v>172</v>
      </c>
      <c r="B7" s="4" t="s">
        <v>173</v>
      </c>
      <c r="C7" s="4" t="s">
        <v>174</v>
      </c>
    </row>
    <row r="8" customFormat="false" ht="15" hidden="false" customHeight="true" outlineLevel="0" collapsed="false">
      <c r="A8" s="22" t="s">
        <v>175</v>
      </c>
      <c r="B8" s="23" t="s">
        <v>176</v>
      </c>
      <c r="C8" s="23" t="s">
        <v>177</v>
      </c>
    </row>
    <row r="9" customFormat="false" ht="15" hidden="false" customHeight="true" outlineLevel="0" collapsed="false">
      <c r="A9" s="17" t="s">
        <v>178</v>
      </c>
      <c r="B9" s="4" t="s">
        <v>179</v>
      </c>
      <c r="C9" s="4" t="s">
        <v>180</v>
      </c>
    </row>
    <row r="10" customFormat="false" ht="15" hidden="false" customHeight="true" outlineLevel="0" collapsed="false">
      <c r="A10" s="22" t="s">
        <v>181</v>
      </c>
      <c r="B10" s="23" t="s">
        <v>182</v>
      </c>
      <c r="C10" s="23" t="s">
        <v>183</v>
      </c>
    </row>
    <row r="11" customFormat="false" ht="15" hidden="false" customHeight="true" outlineLevel="0" collapsed="false">
      <c r="A11" s="17" t="s">
        <v>184</v>
      </c>
      <c r="B11" s="4" t="s">
        <v>185</v>
      </c>
      <c r="C11" s="4" t="s">
        <v>183</v>
      </c>
    </row>
    <row r="12" customFormat="false" ht="15" hidden="false" customHeight="true" outlineLevel="0" collapsed="false">
      <c r="A12" s="22" t="s">
        <v>186</v>
      </c>
      <c r="B12" s="23" t="s">
        <v>187</v>
      </c>
      <c r="C12" s="23" t="s">
        <v>188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2026-03-10T22:54:25Z</dcterms:created>
  <dc:creator>openpyxl</dc:creator>
  <dc:description/>
  <dc:language>en-US</dc:language>
  <cp:lastModifiedBy/>
  <dcterms:modified xsi:type="dcterms:W3CDTF">2026-03-12T16:40:46Z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